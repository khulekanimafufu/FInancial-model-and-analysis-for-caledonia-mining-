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5.xml" ContentType="application/vnd.openxmlformats-officedocument.spreadsheetml.queryTable+xml"/>
  <Override PartName="/xl/tables/table6.xml" ContentType="application/vnd.openxmlformats-officedocument.spreadsheetml.table+xml"/>
  <Override PartName="/xl/queryTables/queryTable6.xml" ContentType="application/vnd.openxmlformats-officedocument.spreadsheetml.queryTable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Objects="none"/>
  <mc:AlternateContent xmlns:mc="http://schemas.openxmlformats.org/markup-compatibility/2006">
    <mc:Choice Requires="x15">
      <x15ac:absPath xmlns:x15ac="http://schemas.microsoft.com/office/spreadsheetml/2010/11/ac" url="C:\Users\Michael\Downloads\"/>
    </mc:Choice>
  </mc:AlternateContent>
  <xr:revisionPtr revIDLastSave="0" documentId="8_{36158DE3-6B94-4F45-824F-0A339F578663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balance sheet" sheetId="2" r:id="rId1"/>
    <sheet name="cashflow sheet" sheetId="5" r:id="rId2"/>
    <sheet name="profit and loss" sheetId="1" r:id="rId3"/>
    <sheet name="WACC" sheetId="23" r:id="rId4"/>
    <sheet name="MULTIPLES VALUATION" sheetId="24" r:id="rId5"/>
    <sheet name="Table020 (Page 13)" sheetId="7" r:id="rId6"/>
    <sheet name="Sheet7" sheetId="14" r:id="rId7"/>
    <sheet name="Table065 (Page 40)" sheetId="17" r:id="rId8"/>
    <sheet name="Table066 (Page 40)" sheetId="18" r:id="rId9"/>
    <sheet name="Table100 (Page 56)" sheetId="21" r:id="rId10"/>
    <sheet name="Sheet1" sheetId="20" r:id="rId11"/>
    <sheet name="Table070 (Page 42)" sheetId="19" r:id="rId12"/>
    <sheet name="Sheet8" sheetId="15" r:id="rId13"/>
    <sheet name="Sheet9" sheetId="16" r:id="rId14"/>
    <sheet name="Table015 (Page 11)" sheetId="11" r:id="rId15"/>
    <sheet name="Table075 (Page 45)" sheetId="13" r:id="rId16"/>
    <sheet name="Table067 (Page 32)" sheetId="22" r:id="rId17"/>
    <sheet name="Sheet3" sheetId="12" r:id="rId18"/>
    <sheet name="Sheet6" sheetId="10" r:id="rId19"/>
    <sheet name="Table018 (Page 12)" sheetId="8" r:id="rId20"/>
    <sheet name="Sheet5" sheetId="6" r:id="rId21"/>
    <sheet name="Sheet4" sheetId="4" r:id="rId22"/>
  </sheets>
  <definedNames>
    <definedName name="ExternalData_1" localSheetId="1" hidden="1">'cashflow sheet'!$A$15:$A$49</definedName>
    <definedName name="ExternalData_1" localSheetId="14" hidden="1">'Table015 (Page 11)'!$A$1:$E$22</definedName>
    <definedName name="ExternalData_1" localSheetId="19" hidden="1">'Table018 (Page 12)'!$A$1:$D$41</definedName>
    <definedName name="ExternalData_1" localSheetId="5" hidden="1">'Table020 (Page 13)'!$A$1:$B$26</definedName>
    <definedName name="ExternalData_1" localSheetId="7" hidden="1">'Table065 (Page 40)'!$A$1:$C$4</definedName>
    <definedName name="ExternalData_1" localSheetId="8" hidden="1">'Table066 (Page 40)'!$A$1:$E$6</definedName>
    <definedName name="ExternalData_1" localSheetId="16" hidden="1">'Table067 (Page 32)'!$A$1:$C$6</definedName>
    <definedName name="ExternalData_1" localSheetId="11" hidden="1">'Table070 (Page 42)'!$A$1:$H$9</definedName>
    <definedName name="ExternalData_1" localSheetId="15" hidden="1">'Table075 (Page 45)'!$A$1:$H$29</definedName>
    <definedName name="ExternalData_1" localSheetId="9" hidden="1">'Table100 (Page 56)'!$A$1:$C$13</definedName>
    <definedName name="ExternalData_2" localSheetId="7" hidden="1">'Table065 (Page 40)'!$A$5:$E$10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4" i="2" l="1"/>
  <c r="H44" i="2"/>
  <c r="G44" i="2"/>
  <c r="H39" i="2"/>
  <c r="H34" i="2" l="1"/>
  <c r="G39" i="2"/>
  <c r="G34" i="2"/>
  <c r="G132" i="2"/>
  <c r="G127" i="2"/>
  <c r="I69" i="1"/>
  <c r="J69" i="1"/>
  <c r="K69" i="1"/>
  <c r="G129" i="2"/>
  <c r="J43" i="5"/>
  <c r="K43" i="5"/>
  <c r="H12" i="5"/>
  <c r="I12" i="5"/>
  <c r="J12" i="5"/>
  <c r="K12" i="5"/>
  <c r="H66" i="2"/>
  <c r="I66" i="2"/>
  <c r="J66" i="2"/>
  <c r="K66" i="2"/>
  <c r="G81" i="2"/>
  <c r="H32" i="2"/>
  <c r="I32" i="2"/>
  <c r="J32" i="2"/>
  <c r="K32" i="2"/>
  <c r="G32" i="2"/>
  <c r="F80" i="2"/>
  <c r="F79" i="2"/>
  <c r="F78" i="2"/>
  <c r="E78" i="2"/>
  <c r="G70" i="2"/>
  <c r="G128" i="2"/>
  <c r="G131" i="2" s="1"/>
  <c r="H11" i="1"/>
  <c r="I11" i="1"/>
  <c r="J11" i="1"/>
  <c r="K11" i="1"/>
  <c r="H12" i="1"/>
  <c r="I12" i="1"/>
  <c r="J12" i="1"/>
  <c r="K12" i="1"/>
  <c r="G16" i="1"/>
  <c r="G6" i="1"/>
  <c r="K13" i="2"/>
  <c r="J67" i="1"/>
  <c r="K67" i="1"/>
  <c r="I29" i="2"/>
  <c r="J29" i="2" s="1"/>
  <c r="K29" i="2" s="1"/>
  <c r="H29" i="2"/>
  <c r="H43" i="5"/>
  <c r="I43" i="5"/>
  <c r="G43" i="5"/>
  <c r="D54" i="2"/>
  <c r="G9" i="2"/>
  <c r="H9" i="2"/>
  <c r="I9" i="2"/>
  <c r="J9" i="2"/>
  <c r="K9" i="2"/>
  <c r="G33" i="5"/>
  <c r="F48" i="2"/>
  <c r="F53" i="2"/>
  <c r="K33" i="5"/>
  <c r="J33" i="5"/>
  <c r="I33" i="5"/>
  <c r="H33" i="5"/>
  <c r="H15" i="2"/>
  <c r="I15" i="2"/>
  <c r="J15" i="2"/>
  <c r="K15" i="2"/>
  <c r="G15" i="2"/>
  <c r="M14" i="2"/>
  <c r="G5" i="2"/>
  <c r="G24" i="5"/>
  <c r="F16" i="1"/>
  <c r="F47" i="2"/>
  <c r="F18" i="2"/>
  <c r="F6" i="2"/>
  <c r="F24" i="2"/>
  <c r="F27" i="2" s="1"/>
  <c r="F35" i="2"/>
  <c r="F46" i="2"/>
  <c r="H24" i="5"/>
  <c r="H40" i="2"/>
  <c r="I40" i="2"/>
  <c r="J40" i="2" s="1"/>
  <c r="K40" i="2" s="1"/>
  <c r="G40" i="2"/>
  <c r="H31" i="2"/>
  <c r="I31" i="2"/>
  <c r="J31" i="2"/>
  <c r="K31" i="2"/>
  <c r="G31" i="2"/>
  <c r="I94" i="2"/>
  <c r="I95" i="2" s="1"/>
  <c r="I97" i="2"/>
  <c r="J97" i="2" s="1"/>
  <c r="H97" i="2"/>
  <c r="J91" i="2"/>
  <c r="J94" i="2" s="1"/>
  <c r="J93" i="2"/>
  <c r="F94" i="2"/>
  <c r="F91" i="2"/>
  <c r="I30" i="2"/>
  <c r="J30" i="2"/>
  <c r="K30" i="2"/>
  <c r="H30" i="2"/>
  <c r="H132" i="2" l="1"/>
  <c r="G35" i="2"/>
  <c r="G34" i="5"/>
  <c r="G44" i="5" s="1"/>
  <c r="J95" i="2"/>
  <c r="J96" i="2"/>
  <c r="K91" i="2"/>
  <c r="I96" i="2"/>
  <c r="K97" i="2"/>
  <c r="K92" i="2" s="1"/>
  <c r="J92" i="2"/>
  <c r="I92" i="2"/>
  <c r="I132" i="2" l="1"/>
  <c r="H35" i="2"/>
  <c r="K93" i="2"/>
  <c r="K94" i="2"/>
  <c r="I34" i="2" l="1"/>
  <c r="I39" i="2"/>
  <c r="J132" i="2"/>
  <c r="K95" i="2"/>
  <c r="K96" i="2"/>
  <c r="J34" i="2" l="1"/>
  <c r="J39" i="2"/>
  <c r="K132" i="2"/>
  <c r="K34" i="2" l="1"/>
  <c r="K39" i="2"/>
  <c r="H45" i="2" l="1"/>
  <c r="I45" i="2" s="1"/>
  <c r="J45" i="2" s="1"/>
  <c r="K45" i="2" s="1"/>
  <c r="G45" i="2"/>
  <c r="F150" i="2"/>
  <c r="E151" i="2"/>
  <c r="F148" i="2" s="1"/>
  <c r="G117" i="2"/>
  <c r="G38" i="2"/>
  <c r="G37" i="2"/>
  <c r="G33" i="2"/>
  <c r="G30" i="2"/>
  <c r="G29" i="2"/>
  <c r="G21" i="2"/>
  <c r="G22" i="2"/>
  <c r="L6" i="2"/>
  <c r="F60" i="2"/>
  <c r="G48" i="5"/>
  <c r="K37" i="5"/>
  <c r="G2" i="5"/>
  <c r="K8" i="5"/>
  <c r="H8" i="5"/>
  <c r="I8" i="5"/>
  <c r="J8" i="5"/>
  <c r="G60" i="2"/>
  <c r="F63" i="2" s="1"/>
  <c r="C49" i="2"/>
  <c r="D49" i="2"/>
  <c r="E49" i="2"/>
  <c r="F49" i="2"/>
  <c r="C50" i="2"/>
  <c r="D50" i="2"/>
  <c r="E50" i="2"/>
  <c r="F50" i="2"/>
  <c r="B50" i="2"/>
  <c r="B49" i="2"/>
  <c r="C37" i="1"/>
  <c r="D37" i="1"/>
  <c r="E37" i="1"/>
  <c r="F37" i="1"/>
  <c r="C39" i="1"/>
  <c r="D39" i="1"/>
  <c r="E39" i="1"/>
  <c r="F39" i="1"/>
  <c r="B39" i="1"/>
  <c r="B37" i="1"/>
  <c r="C35" i="1"/>
  <c r="D35" i="1"/>
  <c r="E35" i="1"/>
  <c r="F35" i="1"/>
  <c r="G35" i="1"/>
  <c r="B35" i="1"/>
  <c r="C21" i="1"/>
  <c r="C33" i="1" s="1"/>
  <c r="D21" i="1"/>
  <c r="D33" i="1" s="1"/>
  <c r="E21" i="1"/>
  <c r="E33" i="1" s="1"/>
  <c r="F21" i="1"/>
  <c r="F33" i="1" s="1"/>
  <c r="B21" i="1"/>
  <c r="B33" i="1" s="1"/>
  <c r="G62" i="2"/>
  <c r="G12" i="2"/>
  <c r="H12" i="2" s="1"/>
  <c r="I12" i="2" s="1"/>
  <c r="J12" i="2" s="1"/>
  <c r="K12" i="2" s="1"/>
  <c r="H5" i="2"/>
  <c r="I5" i="2" s="1"/>
  <c r="J5" i="2" s="1"/>
  <c r="K5" i="2" s="1"/>
  <c r="J37" i="5"/>
  <c r="F92" i="2"/>
  <c r="G7" i="5" l="1"/>
  <c r="D159" i="2"/>
  <c r="E157" i="2" s="1"/>
  <c r="E159" i="2"/>
  <c r="F157" i="2" s="1"/>
  <c r="F159" i="2"/>
  <c r="G157" i="2" s="1"/>
  <c r="G159" i="2"/>
  <c r="H159" i="2" s="1"/>
  <c r="I159" i="2" s="1"/>
  <c r="J159" i="2" s="1"/>
  <c r="K159" i="2" s="1"/>
  <c r="C159" i="2"/>
  <c r="D157" i="2" s="1"/>
  <c r="B62" i="2"/>
  <c r="H38" i="2"/>
  <c r="I38" i="2" s="1"/>
  <c r="H54" i="1"/>
  <c r="I54" i="1"/>
  <c r="J54" i="1"/>
  <c r="K54" i="1"/>
  <c r="G54" i="1"/>
  <c r="H33" i="2"/>
  <c r="I33" i="2" s="1"/>
  <c r="J33" i="2" s="1"/>
  <c r="K33" i="2" s="1"/>
  <c r="H37" i="2"/>
  <c r="I37" i="2" s="1"/>
  <c r="J37" i="2" s="1"/>
  <c r="C56" i="5"/>
  <c r="C55" i="5"/>
  <c r="D55" i="5"/>
  <c r="E55" i="5"/>
  <c r="F55" i="5"/>
  <c r="D56" i="5"/>
  <c r="E56" i="5"/>
  <c r="F56" i="5"/>
  <c r="B56" i="5"/>
  <c r="B55" i="5"/>
  <c r="C66" i="2"/>
  <c r="C67" i="2" s="1"/>
  <c r="D66" i="2"/>
  <c r="D67" i="2" s="1"/>
  <c r="E66" i="2"/>
  <c r="E67" i="2" s="1"/>
  <c r="F66" i="2"/>
  <c r="F67" i="2" s="1"/>
  <c r="B66" i="2"/>
  <c r="B67" i="2" s="1"/>
  <c r="F146" i="2"/>
  <c r="G143" i="2" s="1"/>
  <c r="D120" i="2"/>
  <c r="D123" i="2" s="1"/>
  <c r="E120" i="2"/>
  <c r="E123" i="2" s="1"/>
  <c r="F120" i="2"/>
  <c r="F123" i="2" s="1"/>
  <c r="D124" i="2"/>
  <c r="F88" i="2"/>
  <c r="E88" i="2"/>
  <c r="C64" i="1"/>
  <c r="D64" i="1"/>
  <c r="F64" i="1"/>
  <c r="B64" i="1"/>
  <c r="C63" i="1"/>
  <c r="D63" i="1"/>
  <c r="F63" i="1"/>
  <c r="B63" i="1"/>
  <c r="E60" i="1"/>
  <c r="F60" i="1"/>
  <c r="D60" i="1"/>
  <c r="F59" i="1"/>
  <c r="E59" i="1"/>
  <c r="H22" i="2"/>
  <c r="I22" i="2" s="1"/>
  <c r="J22" i="2" s="1"/>
  <c r="K22" i="2" s="1"/>
  <c r="H21" i="2"/>
  <c r="I21" i="2" s="1"/>
  <c r="J21" i="2" s="1"/>
  <c r="K21" i="2" s="1"/>
  <c r="H9" i="1"/>
  <c r="I9" i="1" s="1"/>
  <c r="J9" i="1" s="1"/>
  <c r="K9" i="1" s="1"/>
  <c r="C82" i="2"/>
  <c r="D82" i="2"/>
  <c r="E82" i="2"/>
  <c r="F82" i="2"/>
  <c r="G82" i="2"/>
  <c r="B82" i="2"/>
  <c r="F7" i="14"/>
  <c r="E81" i="2"/>
  <c r="F81" i="2"/>
  <c r="C81" i="2"/>
  <c r="D81" i="2"/>
  <c r="B81" i="2"/>
  <c r="C78" i="2"/>
  <c r="D78" i="2"/>
  <c r="G78" i="2"/>
  <c r="B78" i="2"/>
  <c r="C80" i="2"/>
  <c r="D80" i="2"/>
  <c r="E80" i="2"/>
  <c r="G80" i="2" s="1"/>
  <c r="B80" i="2"/>
  <c r="C56" i="1"/>
  <c r="D56" i="1"/>
  <c r="E56" i="1"/>
  <c r="F56" i="1"/>
  <c r="G56" i="1"/>
  <c r="B56" i="1"/>
  <c r="C55" i="1"/>
  <c r="D55" i="1"/>
  <c r="E55" i="1"/>
  <c r="F55" i="1"/>
  <c r="G55" i="1"/>
  <c r="B55" i="1"/>
  <c r="C53" i="1"/>
  <c r="D53" i="1"/>
  <c r="E53" i="1"/>
  <c r="F53" i="1"/>
  <c r="B53" i="1"/>
  <c r="I81" i="1"/>
  <c r="I83" i="1" s="1"/>
  <c r="I85" i="1" s="1"/>
  <c r="H81" i="1"/>
  <c r="H83" i="1" s="1"/>
  <c r="H85" i="1" s="1"/>
  <c r="B76" i="1"/>
  <c r="H86" i="1" s="1"/>
  <c r="H117" i="2"/>
  <c r="I117" i="2"/>
  <c r="H138" i="2"/>
  <c r="I138" i="2"/>
  <c r="G138" i="2"/>
  <c r="H92" i="2"/>
  <c r="H37" i="5" s="1"/>
  <c r="I37" i="5"/>
  <c r="G92" i="2"/>
  <c r="G37" i="5" s="1"/>
  <c r="C77" i="2"/>
  <c r="C79" i="2" s="1"/>
  <c r="G98" i="2"/>
  <c r="H98" i="2" s="1"/>
  <c r="I98" i="2" s="1"/>
  <c r="J98" i="2" s="1"/>
  <c r="K98" i="2" s="1"/>
  <c r="F93" i="2"/>
  <c r="D77" i="2"/>
  <c r="D79" i="2" s="1"/>
  <c r="E77" i="2"/>
  <c r="E79" i="2" s="1"/>
  <c r="G79" i="2" s="1"/>
  <c r="F77" i="2"/>
  <c r="G77" i="2"/>
  <c r="B77" i="2"/>
  <c r="G8" i="2" l="1"/>
  <c r="G11" i="5" s="1"/>
  <c r="H78" i="2"/>
  <c r="I78" i="2" s="1"/>
  <c r="J78" i="2" s="1"/>
  <c r="K78" i="2" s="1"/>
  <c r="H80" i="2"/>
  <c r="I80" i="2" s="1"/>
  <c r="J80" i="2" s="1"/>
  <c r="K80" i="2" s="1"/>
  <c r="G43" i="2"/>
  <c r="G10" i="2"/>
  <c r="G13" i="5" s="1"/>
  <c r="H79" i="2"/>
  <c r="I79" i="2" s="1"/>
  <c r="J79" i="2" s="1"/>
  <c r="K79" i="2" s="1"/>
  <c r="F151" i="2"/>
  <c r="G148" i="2" s="1"/>
  <c r="H42" i="2"/>
  <c r="H63" i="1"/>
  <c r="I63" i="1" s="1"/>
  <c r="J63" i="1" s="1"/>
  <c r="K63" i="1" s="1"/>
  <c r="D158" i="2"/>
  <c r="D161" i="2" s="1"/>
  <c r="E158" i="2"/>
  <c r="E161" i="2" s="1"/>
  <c r="G158" i="2"/>
  <c r="H157" i="2"/>
  <c r="F158" i="2"/>
  <c r="F161" i="2" s="1"/>
  <c r="E69" i="2"/>
  <c r="J38" i="2"/>
  <c r="K38" i="2" s="1"/>
  <c r="K37" i="2"/>
  <c r="G56" i="5"/>
  <c r="G55" i="5"/>
  <c r="D68" i="2"/>
  <c r="C69" i="2"/>
  <c r="C68" i="2"/>
  <c r="F69" i="2"/>
  <c r="B68" i="2"/>
  <c r="F68" i="2"/>
  <c r="B69" i="2"/>
  <c r="D69" i="2"/>
  <c r="E68" i="2"/>
  <c r="G123" i="2"/>
  <c r="H123" i="2"/>
  <c r="I123" i="2" s="1"/>
  <c r="J123" i="2" s="1"/>
  <c r="K123" i="2" s="1"/>
  <c r="I67" i="1"/>
  <c r="H81" i="2"/>
  <c r="I81" i="2" s="1"/>
  <c r="J81" i="2" s="1"/>
  <c r="K81" i="2" s="1"/>
  <c r="I86" i="1"/>
  <c r="I87" i="1" s="1"/>
  <c r="J86" i="1"/>
  <c r="H87" i="1"/>
  <c r="G67" i="1"/>
  <c r="G67" i="2"/>
  <c r="G66" i="2" s="1"/>
  <c r="H67" i="2"/>
  <c r="I67" i="2" s="1"/>
  <c r="J67" i="2" s="1"/>
  <c r="K67" i="2" s="1"/>
  <c r="C60" i="2"/>
  <c r="D60" i="2"/>
  <c r="E60" i="2"/>
  <c r="B60" i="2"/>
  <c r="C62" i="2"/>
  <c r="D62" i="2"/>
  <c r="E62" i="2"/>
  <c r="F62" i="2"/>
  <c r="H57" i="1"/>
  <c r="L2" i="1"/>
  <c r="I50" i="1"/>
  <c r="I3" i="1" s="1"/>
  <c r="H50" i="1"/>
  <c r="G14" i="5" l="1"/>
  <c r="G46" i="2"/>
  <c r="I42" i="2"/>
  <c r="L42" i="2"/>
  <c r="G68" i="2"/>
  <c r="G61" i="2" s="1"/>
  <c r="G63" i="2" s="1"/>
  <c r="G3" i="2" s="1"/>
  <c r="G69" i="2"/>
  <c r="G68" i="1"/>
  <c r="B74" i="2"/>
  <c r="E74" i="2"/>
  <c r="D74" i="2"/>
  <c r="F74" i="2"/>
  <c r="C74" i="2"/>
  <c r="H2" i="1"/>
  <c r="H3" i="1"/>
  <c r="I57" i="1"/>
  <c r="H67" i="1"/>
  <c r="G91" i="2"/>
  <c r="I56" i="1"/>
  <c r="I2" i="1"/>
  <c r="I10" i="1" s="1"/>
  <c r="H56" i="1"/>
  <c r="G47" i="2" l="1"/>
  <c r="J42" i="2"/>
  <c r="M42" i="2"/>
  <c r="H68" i="2"/>
  <c r="I157" i="2"/>
  <c r="J157" i="2" s="1"/>
  <c r="H69" i="2"/>
  <c r="H127" i="2"/>
  <c r="H10" i="1"/>
  <c r="H77" i="2"/>
  <c r="H10" i="2" s="1"/>
  <c r="J57" i="1"/>
  <c r="K56" i="1"/>
  <c r="G93" i="2"/>
  <c r="G69" i="1" s="1"/>
  <c r="G70" i="1" s="1"/>
  <c r="G19" i="1" s="1"/>
  <c r="G20" i="1" s="1"/>
  <c r="G94" i="2"/>
  <c r="I77" i="2"/>
  <c r="I10" i="2" s="1"/>
  <c r="G74" i="2"/>
  <c r="J56" i="1"/>
  <c r="J48" i="1"/>
  <c r="J81" i="1" s="1"/>
  <c r="J83" i="1" s="1"/>
  <c r="J85" i="1" s="1"/>
  <c r="J87" i="1" s="1"/>
  <c r="H128" i="2" l="1"/>
  <c r="H34" i="5" s="1"/>
  <c r="H44" i="5" s="1"/>
  <c r="H129" i="2"/>
  <c r="H68" i="1" s="1"/>
  <c r="G21" i="1"/>
  <c r="G33" i="1" s="1"/>
  <c r="G23" i="1"/>
  <c r="G19" i="5" s="1"/>
  <c r="G37" i="1"/>
  <c r="G24" i="1"/>
  <c r="G27" i="1"/>
  <c r="G39" i="1"/>
  <c r="G150" i="2"/>
  <c r="G151" i="2" s="1"/>
  <c r="H148" i="2" s="1"/>
  <c r="G95" i="2"/>
  <c r="G96" i="2" s="1"/>
  <c r="H91" i="2"/>
  <c r="H93" i="2" s="1"/>
  <c r="K42" i="2"/>
  <c r="N42" i="2"/>
  <c r="G23" i="5"/>
  <c r="G4" i="2"/>
  <c r="G6" i="2" s="1"/>
  <c r="H74" i="2"/>
  <c r="G12" i="5"/>
  <c r="G15" i="5" s="1"/>
  <c r="G18" i="5"/>
  <c r="H13" i="5"/>
  <c r="I13" i="5"/>
  <c r="I68" i="2"/>
  <c r="J68" i="2" s="1"/>
  <c r="K68" i="2" s="1"/>
  <c r="K157" i="2"/>
  <c r="I69" i="2"/>
  <c r="J13" i="2"/>
  <c r="J27" i="5" s="1"/>
  <c r="K57" i="1"/>
  <c r="H94" i="2"/>
  <c r="H69" i="1"/>
  <c r="E4" i="23"/>
  <c r="E7" i="23" s="1"/>
  <c r="I74" i="2"/>
  <c r="K48" i="1"/>
  <c r="J50" i="1"/>
  <c r="J3" i="1" s="1"/>
  <c r="H131" i="2" l="1"/>
  <c r="G20" i="5"/>
  <c r="G29" i="1"/>
  <c r="G23" i="2" s="1"/>
  <c r="G24" i="2" s="1"/>
  <c r="G31" i="1"/>
  <c r="I91" i="2"/>
  <c r="I93" i="2" s="1"/>
  <c r="H95" i="2"/>
  <c r="H96" i="2" s="1"/>
  <c r="H70" i="1"/>
  <c r="H18" i="5" s="1"/>
  <c r="K50" i="1"/>
  <c r="K2" i="1"/>
  <c r="K3" i="1" s="1"/>
  <c r="J69" i="2"/>
  <c r="I35" i="2"/>
  <c r="J74" i="2"/>
  <c r="J2" i="1"/>
  <c r="H53" i="1"/>
  <c r="H4" i="1" s="1"/>
  <c r="H43" i="2" s="1"/>
  <c r="I53" i="1"/>
  <c r="I4" i="1" s="1"/>
  <c r="I43" i="2" s="1"/>
  <c r="G30" i="1" l="1"/>
  <c r="H19" i="1"/>
  <c r="I127" i="2"/>
  <c r="H46" i="2"/>
  <c r="H47" i="2" s="1"/>
  <c r="F4" i="23" s="1"/>
  <c r="F7" i="23" s="1"/>
  <c r="H14" i="5"/>
  <c r="I14" i="5"/>
  <c r="K69" i="2"/>
  <c r="J10" i="1"/>
  <c r="K10" i="1"/>
  <c r="H82" i="2"/>
  <c r="I82" i="2"/>
  <c r="I8" i="2"/>
  <c r="K74" i="2"/>
  <c r="H8" i="2"/>
  <c r="J77" i="2"/>
  <c r="J10" i="2" s="1"/>
  <c r="K77" i="2"/>
  <c r="K10" i="2" s="1"/>
  <c r="J53" i="1"/>
  <c r="J4" i="1" s="1"/>
  <c r="J43" i="2" s="1"/>
  <c r="J14" i="5" s="1"/>
  <c r="K53" i="1"/>
  <c r="I128" i="2" l="1"/>
  <c r="I34" i="5" s="1"/>
  <c r="I44" i="5" s="1"/>
  <c r="I129" i="2"/>
  <c r="I68" i="1" s="1"/>
  <c r="I70" i="1" s="1"/>
  <c r="I19" i="1" s="1"/>
  <c r="G49" i="2"/>
  <c r="G64" i="1"/>
  <c r="G26" i="2"/>
  <c r="J35" i="2"/>
  <c r="K35" i="2"/>
  <c r="K4" i="1"/>
  <c r="K8" i="2" s="1"/>
  <c r="H11" i="5"/>
  <c r="I11" i="5"/>
  <c r="K13" i="5"/>
  <c r="J13" i="5"/>
  <c r="J82" i="2"/>
  <c r="J8" i="2"/>
  <c r="I131" i="2" l="1"/>
  <c r="J127" i="2"/>
  <c r="G27" i="2"/>
  <c r="I18" i="5"/>
  <c r="J11" i="5"/>
  <c r="K11" i="5"/>
  <c r="K82" i="2"/>
  <c r="K43" i="2"/>
  <c r="I46" i="2" l="1"/>
  <c r="I47" i="2" s="1"/>
  <c r="G4" i="23" s="1"/>
  <c r="G7" i="23" s="1"/>
  <c r="J128" i="2"/>
  <c r="J131" i="2" s="1"/>
  <c r="J129" i="2"/>
  <c r="J68" i="1" s="1"/>
  <c r="J70" i="1" s="1"/>
  <c r="J18" i="5" s="1"/>
  <c r="G48" i="2"/>
  <c r="E3" i="23"/>
  <c r="E9" i="23" s="1"/>
  <c r="K14" i="5"/>
  <c r="J19" i="1" l="1"/>
  <c r="J34" i="5"/>
  <c r="J44" i="5" s="1"/>
  <c r="J46" i="2" l="1"/>
  <c r="J47" i="2" s="1"/>
  <c r="H4" i="23" s="1"/>
  <c r="H7" i="23" s="1"/>
  <c r="K127" i="2"/>
  <c r="K128" i="2" l="1"/>
  <c r="K34" i="5" s="1"/>
  <c r="K44" i="5" s="1"/>
  <c r="K129" i="2"/>
  <c r="K68" i="1" s="1"/>
  <c r="K70" i="1" s="1"/>
  <c r="K18" i="5" s="1"/>
  <c r="K131" i="2" l="1"/>
  <c r="K46" i="2"/>
  <c r="K47" i="2" s="1"/>
  <c r="I4" i="23" s="1"/>
  <c r="K19" i="1"/>
  <c r="I7" i="23" l="1"/>
  <c r="G22" i="5" l="1"/>
  <c r="G31" i="5" s="1"/>
  <c r="G46" i="5" s="1"/>
  <c r="H62" i="2"/>
  <c r="H5" i="1" s="1"/>
  <c r="H60" i="2"/>
  <c r="H7" i="5" l="1"/>
  <c r="H6" i="1"/>
  <c r="H16" i="1" s="1"/>
  <c r="H20" i="1" s="1"/>
  <c r="H23" i="1" s="1"/>
  <c r="H24" i="1" s="1"/>
  <c r="G49" i="5"/>
  <c r="H48" i="5" s="1"/>
  <c r="H61" i="2"/>
  <c r="H63" i="2" l="1"/>
  <c r="H70" i="2"/>
  <c r="G14" i="2"/>
  <c r="H35" i="1"/>
  <c r="H22" i="5"/>
  <c r="H4" i="2" l="1"/>
  <c r="H23" i="5"/>
  <c r="H31" i="5" s="1"/>
  <c r="G16" i="2"/>
  <c r="G18" i="2" s="1"/>
  <c r="G161" i="2"/>
  <c r="H161" i="2" s="1"/>
  <c r="I161" i="2" s="1"/>
  <c r="J161" i="2" s="1"/>
  <c r="K161" i="2" s="1"/>
  <c r="H19" i="5"/>
  <c r="H2" i="5"/>
  <c r="H15" i="5" s="1"/>
  <c r="H20" i="5" s="1"/>
  <c r="I60" i="2"/>
  <c r="H3" i="2"/>
  <c r="H2" i="2" l="1"/>
  <c r="G50" i="2"/>
  <c r="G53" i="2"/>
  <c r="H6" i="2"/>
  <c r="H21" i="1"/>
  <c r="H46" i="5"/>
  <c r="H49" i="5" s="1"/>
  <c r="H37" i="1"/>
  <c r="H33" i="1"/>
  <c r="I62" i="2"/>
  <c r="I5" i="1" s="1"/>
  <c r="I48" i="5" l="1"/>
  <c r="H14" i="2"/>
  <c r="H39" i="1"/>
  <c r="H31" i="1"/>
  <c r="H150" i="2"/>
  <c r="H27" i="1"/>
  <c r="H29" i="1" s="1"/>
  <c r="H23" i="2" s="1"/>
  <c r="H24" i="2" s="1"/>
  <c r="I6" i="1"/>
  <c r="I7" i="5"/>
  <c r="I61" i="2"/>
  <c r="I70" i="2" s="1"/>
  <c r="H151" i="2" l="1"/>
  <c r="H16" i="2"/>
  <c r="I23" i="5"/>
  <c r="I4" i="2"/>
  <c r="H30" i="1"/>
  <c r="H26" i="2" s="1"/>
  <c r="I148" i="2"/>
  <c r="I22" i="5"/>
  <c r="I31" i="5" s="1"/>
  <c r="I63" i="2"/>
  <c r="I16" i="1"/>
  <c r="I35" i="1"/>
  <c r="H18" i="2" l="1"/>
  <c r="H27" i="2"/>
  <c r="H49" i="2"/>
  <c r="I2" i="5"/>
  <c r="I15" i="5" s="1"/>
  <c r="I20" i="1"/>
  <c r="J60" i="2"/>
  <c r="I3" i="2"/>
  <c r="I6" i="2" s="1"/>
  <c r="H50" i="2" l="1"/>
  <c r="I23" i="1"/>
  <c r="I19" i="5" s="1"/>
  <c r="I20" i="5" s="1"/>
  <c r="I46" i="5" s="1"/>
  <c r="I49" i="5" s="1"/>
  <c r="F3" i="23"/>
  <c r="F9" i="23" s="1"/>
  <c r="H48" i="2"/>
  <c r="J62" i="2"/>
  <c r="J5" i="1" s="1"/>
  <c r="I37" i="1"/>
  <c r="I21" i="1"/>
  <c r="I33" i="1" s="1"/>
  <c r="H53" i="2" l="1"/>
  <c r="I14" i="2"/>
  <c r="I16" i="2" s="1"/>
  <c r="I18" i="2" s="1"/>
  <c r="I24" i="1"/>
  <c r="I31" i="1" s="1"/>
  <c r="J48" i="5"/>
  <c r="I39" i="1"/>
  <c r="I27" i="1"/>
  <c r="I29" i="1" s="1"/>
  <c r="I23" i="2" s="1"/>
  <c r="J61" i="2"/>
  <c r="J70" i="2" s="1"/>
  <c r="J7" i="5"/>
  <c r="J6" i="1"/>
  <c r="I150" i="2" l="1"/>
  <c r="I151" i="2" s="1"/>
  <c r="J148" i="2" s="1"/>
  <c r="H54" i="2"/>
  <c r="J23" i="5"/>
  <c r="J4" i="2"/>
  <c r="J35" i="1"/>
  <c r="J16" i="1"/>
  <c r="J22" i="5"/>
  <c r="J31" i="5" s="1"/>
  <c r="J63" i="2"/>
  <c r="I50" i="2"/>
  <c r="I30" i="1"/>
  <c r="I26" i="2" s="1"/>
  <c r="I24" i="2"/>
  <c r="I27" i="2" l="1"/>
  <c r="G3" i="23" s="1"/>
  <c r="G9" i="23" s="1"/>
  <c r="I49" i="2"/>
  <c r="K60" i="2"/>
  <c r="J3" i="2"/>
  <c r="J6" i="2" s="1"/>
  <c r="J20" i="1"/>
  <c r="J23" i="1" s="1"/>
  <c r="J19" i="5" s="1"/>
  <c r="J2" i="5"/>
  <c r="J15" i="5" s="1"/>
  <c r="I48" i="2" l="1"/>
  <c r="I53" i="2" s="1"/>
  <c r="I54" i="2" s="1"/>
  <c r="J20" i="5"/>
  <c r="J46" i="5" s="1"/>
  <c r="J49" i="5" s="1"/>
  <c r="J24" i="1"/>
  <c r="J37" i="1"/>
  <c r="J21" i="1"/>
  <c r="J33" i="1" s="1"/>
  <c r="K62" i="2"/>
  <c r="K5" i="1" s="1"/>
  <c r="J14" i="2" l="1"/>
  <c r="K61" i="2"/>
  <c r="K70" i="2" s="1"/>
  <c r="K7" i="5"/>
  <c r="K6" i="1"/>
  <c r="J31" i="1"/>
  <c r="J27" i="1"/>
  <c r="J29" i="1" s="1"/>
  <c r="J23" i="2" s="1"/>
  <c r="J39" i="1"/>
  <c r="J150" i="2"/>
  <c r="J151" i="2" s="1"/>
  <c r="K48" i="5"/>
  <c r="J16" i="2" l="1"/>
  <c r="J24" i="2"/>
  <c r="K23" i="5"/>
  <c r="K4" i="2"/>
  <c r="J30" i="1"/>
  <c r="J26" i="2" s="1"/>
  <c r="J49" i="2"/>
  <c r="K35" i="1"/>
  <c r="K16" i="1"/>
  <c r="K22" i="5"/>
  <c r="K31" i="5" s="1"/>
  <c r="K63" i="2"/>
  <c r="K3" i="2" s="1"/>
  <c r="K6" i="2" s="1"/>
  <c r="J18" i="2" l="1"/>
  <c r="J27" i="2"/>
  <c r="K2" i="5"/>
  <c r="K15" i="5" s="1"/>
  <c r="K20" i="1"/>
  <c r="K23" i="1" s="1"/>
  <c r="K19" i="5" s="1"/>
  <c r="J50" i="2" l="1"/>
  <c r="H3" i="23"/>
  <c r="H9" i="23" s="1"/>
  <c r="J48" i="2"/>
  <c r="J53" i="2" s="1"/>
  <c r="K24" i="1"/>
  <c r="K20" i="5"/>
  <c r="K37" i="1"/>
  <c r="K21" i="1"/>
  <c r="K33" i="1" s="1"/>
  <c r="K46" i="5"/>
  <c r="K49" i="5" s="1"/>
  <c r="J54" i="2" l="1"/>
  <c r="K14" i="2"/>
  <c r="K16" i="2" s="1"/>
  <c r="K18" i="2" s="1"/>
  <c r="K31" i="1"/>
  <c r="K39" i="1"/>
  <c r="K27" i="1"/>
  <c r="K29" i="1" s="1"/>
  <c r="K23" i="2" s="1"/>
  <c r="K24" i="2" s="1"/>
  <c r="K49" i="2" l="1"/>
  <c r="K50" i="2"/>
  <c r="K30" i="1"/>
  <c r="K26" i="2" s="1"/>
  <c r="K27" i="2" s="1"/>
  <c r="I3" i="23" l="1"/>
  <c r="I9" i="23" s="1"/>
  <c r="K48" i="2"/>
  <c r="K53" i="2" s="1"/>
  <c r="K54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B9B15AB-C177-4800-AA91-6E37C8CBBC0B}" keepAlive="1" name="Query - Table011 (Page 9)" description="Connection to the 'Table011 (Page 9)' query in the workbook." type="5" refreshedVersion="8" background="1" saveData="1">
    <dbPr connection="Provider=Microsoft.Mashup.OleDb.1;Data Source=$Workbook$;Location=&quot;Table011 (Page 9)&quot;;Extended Properties=&quot;&quot;" command="SELECT * FROM [Table011 (Page 9)]"/>
  </connection>
  <connection id="2" xr16:uid="{CE6D490D-5F69-4F9D-B002-8A43A8A0C652}" keepAlive="1" name="Query - Table012 (Page 9)" description="Connection to the 'Table012 (Page 9)' query in the workbook." type="5" refreshedVersion="8" background="1" saveData="1">
    <dbPr connection="Provider=Microsoft.Mashup.OleDb.1;Data Source=$Workbook$;Location=&quot;Table012 (Page 9)&quot;;Extended Properties=&quot;&quot;" command="SELECT * FROM [Table012 (Page 9)]"/>
  </connection>
  <connection id="3" xr16:uid="{5B08CAA9-74B0-4AFE-8BC8-1A4266B28EA6}" keepAlive="1" name="Query - Table013 (Page 12)" description="Connection to the 'Table013 (Page 12)' query in the workbook." type="5" refreshedVersion="8" background="1" saveData="1">
    <dbPr connection="Provider=Microsoft.Mashup.OleDb.1;Data Source=$Workbook$;Location=&quot;Table013 (Page 12)&quot;;Extended Properties=&quot;&quot;" command="SELECT * FROM [Table013 (Page 12)]"/>
  </connection>
  <connection id="4" xr16:uid="{D2219128-A482-4CE2-9D9B-014FEB9058D9}" keepAlive="1" name="Query - Table015 (Page 11)" description="Connection to the 'Table015 (Page 11)' query in the workbook." type="5" refreshedVersion="8" background="1" saveData="1">
    <dbPr connection="Provider=Microsoft.Mashup.OleDb.1;Data Source=$Workbook$;Location=&quot;Table015 (Page 11)&quot;;Extended Properties=&quot;&quot;" command="SELECT * FROM [Table015 (Page 11)]"/>
  </connection>
  <connection id="5" xr16:uid="{EEBA62CE-9FCC-409D-8363-D025516BFB76}" keepAlive="1" name="Query - Table018 (Page 12)" description="Connection to the 'Table018 (Page 12)' query in the workbook." type="5" refreshedVersion="8" background="1" saveData="1">
    <dbPr connection="Provider=Microsoft.Mashup.OleDb.1;Data Source=$Workbook$;Location=&quot;Table018 (Page 12)&quot;;Extended Properties=&quot;&quot;" command="SELECT * FROM [Table018 (Page 12)]"/>
  </connection>
  <connection id="6" xr16:uid="{1A1FF3C2-DF3E-49A1-AA8E-910E7BED5E68}" keepAlive="1" name="Query - Table020 (Page 13)" description="Connection to the 'Table020 (Page 13)' query in the workbook." type="5" refreshedVersion="8" background="1" saveData="1">
    <dbPr connection="Provider=Microsoft.Mashup.OleDb.1;Data Source=$Workbook$;Location=&quot;Table020 (Page 13)&quot;;Extended Properties=&quot;&quot;" command="SELECT * FROM [Table020 (Page 13)]"/>
  </connection>
  <connection id="7" xr16:uid="{1564498B-B4AF-45D3-9EBA-822E6A3910D4}" keepAlive="1" name="Query - Table065 (Page 40)" description="Connection to the 'Table065 (Page 40)' query in the workbook." type="5" refreshedVersion="8" background="1" saveData="1">
    <dbPr connection="Provider=Microsoft.Mashup.OleDb.1;Data Source=$Workbook$;Location=&quot;Table065 (Page 40)&quot;;Extended Properties=&quot;&quot;" command="SELECT * FROM [Table065 (Page 40)]"/>
  </connection>
  <connection id="8" xr16:uid="{E63EF87E-765B-4524-AC28-A5941F7F33A3}" keepAlive="1" name="Query - Table066 (Page 40)" description="Connection to the 'Table066 (Page 40)' query in the workbook." type="5" refreshedVersion="8" background="1" saveData="1">
    <dbPr connection="Provider=Microsoft.Mashup.OleDb.1;Data Source=$Workbook$;Location=&quot;Table066 (Page 40)&quot;;Extended Properties=&quot;&quot;" command="SELECT * FROM [Table066 (Page 40)]"/>
  </connection>
  <connection id="9" xr16:uid="{39BD59DE-F6A4-4F7A-804F-7D4FA697F043}" keepAlive="1" name="Query - Table066 (Page 40) (2)" description="Connection to the 'Table066 (Page 40) (2)' query in the workbook." type="5" refreshedVersion="8" background="1" saveData="1">
    <dbPr connection="Provider=Microsoft.Mashup.OleDb.1;Data Source=$Workbook$;Location=&quot;Table066 (Page 40) (2)&quot;;Extended Properties=&quot;&quot;" command="SELECT * FROM [Table066 (Page 40) (2)]"/>
  </connection>
  <connection id="10" xr16:uid="{D4C0DDC1-329F-464F-9549-CAF5F4AE05CA}" keepAlive="1" name="Query - Table067 (Page 32)" description="Connection to the 'Table067 (Page 32)' query in the workbook." type="5" refreshedVersion="8" background="1" saveData="1">
    <dbPr connection="Provider=Microsoft.Mashup.OleDb.1;Data Source=$Workbook$;Location=&quot;Table067 (Page 32)&quot;;Extended Properties=&quot;&quot;" command="SELECT * FROM [Table067 (Page 32)]"/>
  </connection>
  <connection id="11" xr16:uid="{8EB00F11-4F01-432E-9C69-8A89F7F862AA}" keepAlive="1" name="Query - Table070 (Page 42)" description="Connection to the 'Table070 (Page 42)' query in the workbook." type="5" refreshedVersion="8" background="1" saveData="1">
    <dbPr connection="Provider=Microsoft.Mashup.OleDb.1;Data Source=$Workbook$;Location=&quot;Table070 (Page 42)&quot;;Extended Properties=&quot;&quot;" command="SELECT * FROM [Table070 (Page 42)]"/>
  </connection>
  <connection id="12" xr16:uid="{1E538D9C-89B7-4F7B-B1F8-A5728651786C}" keepAlive="1" name="Query - Table075 (Page 45)" description="Connection to the 'Table075 (Page 45)' query in the workbook." type="5" refreshedVersion="8" background="1" saveData="1">
    <dbPr connection="Provider=Microsoft.Mashup.OleDb.1;Data Source=$Workbook$;Location=&quot;Table075 (Page 45)&quot;;Extended Properties=&quot;&quot;" command="SELECT * FROM [Table075 (Page 45)]"/>
  </connection>
  <connection id="13" xr16:uid="{EF9A2870-41CC-4C8C-94B0-4787C4D629D8}" keepAlive="1" name="Query - Table100 (Page 56)" description="Connection to the 'Table100 (Page 56)' query in the workbook." type="5" refreshedVersion="8" background="1" saveData="1">
    <dbPr connection="Provider=Microsoft.Mashup.OleDb.1;Data Source=$Workbook$;Location=&quot;Table100 (Page 56)&quot;;Extended Properties=&quot;&quot;" command="SELECT * FROM [Table100 (Page 56)]"/>
  </connection>
</connections>
</file>

<file path=xl/sharedStrings.xml><?xml version="1.0" encoding="utf-8"?>
<sst xmlns="http://schemas.openxmlformats.org/spreadsheetml/2006/main" count="1006" uniqueCount="661">
  <si>
    <t>Item</t>
  </si>
  <si>
    <t>2022</t>
  </si>
  <si>
    <t>2021</t>
  </si>
  <si>
    <t>2020</t>
  </si>
  <si>
    <t>Revenue</t>
  </si>
  <si>
    <t>Royalty</t>
  </si>
  <si>
    <t>Production costs</t>
  </si>
  <si>
    <t>Depreciation</t>
  </si>
  <si>
    <t>Gross profit</t>
  </si>
  <si>
    <t>Other income</t>
  </si>
  <si>
    <t>Other expenses</t>
  </si>
  <si>
    <t>Administrative expenses</t>
  </si>
  <si>
    <t>Cash-settled share-based expense</t>
  </si>
  <si>
    <t>Equity-settled share-based expense</t>
  </si>
  <si>
    <t>Net derivative financial instrument expense</t>
  </si>
  <si>
    <t>Operating profit</t>
  </si>
  <si>
    <t>Finance income</t>
  </si>
  <si>
    <t>Finance cost</t>
  </si>
  <si>
    <t>Profit before tax</t>
  </si>
  <si>
    <t>Tax expense</t>
  </si>
  <si>
    <t>Profit for the year</t>
  </si>
  <si>
    <t>Exchange differences on translation of foreign operations</t>
  </si>
  <si>
    <t>Total comprehensive income for the year</t>
  </si>
  <si>
    <t>Owners of the Company</t>
  </si>
  <si>
    <t>Non-controlling interests</t>
  </si>
  <si>
    <t>Total comprehensive income for the year (final)</t>
  </si>
  <si>
    <t>YEAR</t>
  </si>
  <si>
    <t>ASSUMPTIONS</t>
  </si>
  <si>
    <t>Profit on sale of non-current assets held for sale</t>
  </si>
  <si>
    <t>GOLD PRODUCTON  (oz)</t>
  </si>
  <si>
    <t>production costs per once</t>
  </si>
  <si>
    <t>royalty as % of revenue</t>
  </si>
  <si>
    <t>administrative costs as % of revenue</t>
  </si>
  <si>
    <t>              2.347</t>
  </si>
  <si>
    <t>cash settle share base expense average</t>
  </si>
  <si>
    <t>Net foreign exchange gain (loss)</t>
  </si>
  <si>
    <t>Line Item</t>
  </si>
  <si>
    <t>Property, plant and equipment</t>
  </si>
  <si>
    <t>Inventories</t>
  </si>
  <si>
    <t>Prepayments</t>
  </si>
  <si>
    <t>2023</t>
  </si>
  <si>
    <t>2024</t>
  </si>
  <si>
    <t>Exploration &amp; evaluation assets</t>
  </si>
  <si>
    <t>Deferred tax asset</t>
  </si>
  <si>
    <t>Total non-current assets</t>
  </si>
  <si>
    <t>Trade &amp; other receivables</t>
  </si>
  <si>
    <t>Income tax receivable</t>
  </si>
  <si>
    <t>Derivative financial assets</t>
  </si>
  <si>
    <t>Cash &amp; cash equivalents</t>
  </si>
  <si>
    <t>Assets held for sale</t>
  </si>
  <si>
    <t>Total current assets</t>
  </si>
  <si>
    <t>Total assets</t>
  </si>
  <si>
    <t>Share capital</t>
  </si>
  <si>
    <t>Reserves</t>
  </si>
  <si>
    <t>Retained loss</t>
  </si>
  <si>
    <t>Equity attributable to shareholders</t>
  </si>
  <si>
    <t>Total equity</t>
  </si>
  <si>
    <t>Deferred tax liabilities</t>
  </si>
  <si>
    <t>Provisions</t>
  </si>
  <si>
    <t>Loans &amp; borrowings LT</t>
  </si>
  <si>
    <t>Loan notes instruments LT</t>
  </si>
  <si>
    <t>Cash-settled SBP LT</t>
  </si>
  <si>
    <t>Lease liabilities LT</t>
  </si>
  <si>
    <t>Total non-current liabilities</t>
  </si>
  <si>
    <t>Cash-settled SBP ST</t>
  </si>
  <si>
    <t>Income tax payable</t>
  </si>
  <si>
    <t>Lease liabilities ST</t>
  </si>
  <si>
    <t>Trade &amp; other payables</t>
  </si>
  <si>
    <t>Overdraft</t>
  </si>
  <si>
    <t>Liabilities assoc. with assets held for sale</t>
  </si>
  <si>
    <t>Total current liabilities</t>
  </si>
  <si>
    <t>Total liabilities</t>
  </si>
  <si>
    <t>Total equity &amp; liabilities</t>
  </si>
  <si>
    <t>Interest received</t>
  </si>
  <si>
    <t>Tax paid</t>
  </si>
  <si>
    <t>Proceeds from call options</t>
  </si>
  <si>
    <t>Payment of lease liabilities</t>
  </si>
  <si>
    <t>Repayment of gold loan</t>
  </si>
  <si>
    <t xml:space="preserve">ASSETS   </t>
  </si>
  <si>
    <t>EQUITY AND  LIABILITIES</t>
  </si>
  <si>
    <t>Loan notes payable</t>
  </si>
  <si>
    <t>supporting schedules</t>
  </si>
  <si>
    <t xml:space="preserve">opening balance </t>
  </si>
  <si>
    <t>depreciation</t>
  </si>
  <si>
    <t xml:space="preserve"> </t>
  </si>
  <si>
    <t xml:space="preserve">closing balance </t>
  </si>
  <si>
    <t>depreciation as a percentage of PPE</t>
  </si>
  <si>
    <t xml:space="preserve"> capex</t>
  </si>
  <si>
    <t>Column1</t>
  </si>
  <si>
    <t>Cash inflow from operations</t>
  </si>
  <si>
    <t>Finance costs paid</t>
  </si>
  <si>
    <t>Net cash inflow from operating activities</t>
  </si>
  <si>
    <t>Acquisition of exploration and evaluation assets</t>
  </si>
  <si>
    <t>Proceeds from derivative financial instruments</t>
  </si>
  <si>
    <t>–</t>
  </si>
  <si>
    <t>Acquisition of Put options</t>
  </si>
  <si>
    <t>Acquisition of call options</t>
  </si>
  <si>
    <t>Net cash used in investing activities</t>
  </si>
  <si>
    <t>Cash flows from financing activities
Dividends paid</t>
  </si>
  <si>
    <t>Shares issued – equity raise (net of transaction cost)</t>
  </si>
  <si>
    <t>Proceeds from loans and borrowings</t>
  </si>
  <si>
    <t>Repayments of loans and borrowings</t>
  </si>
  <si>
    <t>Loan notes - Motapa payment</t>
  </si>
  <si>
    <t>Loan notes - solar bond issue receipts (net of
transaction cost)</t>
  </si>
  <si>
    <t>Net cash (used in) / from financing activities</t>
  </si>
  <si>
    <t>Net increase / (decrease) in cash and cash
equivalents</t>
  </si>
  <si>
    <t>Effect of exchange rate fluctuations on cash and cash
equivalents</t>
  </si>
  <si>
    <t>Net cash and cash equivalents at the beginning of the
year</t>
  </si>
  <si>
    <t>Net cash and cash equivalents at the end of the year</t>
  </si>
  <si>
    <t>Proceeds from sale of assets held for sale</t>
  </si>
  <si>
    <t>Realisation (purchase) of Gold ETF</t>
  </si>
  <si>
    <t>Proceeds from disposal of subsidiary</t>
  </si>
  <si>
    <t>Acquisition of property, plant and equipment</t>
  </si>
  <si>
    <t>Column4</t>
  </si>
  <si>
    <t>Cash flows used in investing activities</t>
  </si>
  <si>
    <t>Expenditure on exploration and evaluation assets</t>
  </si>
  <si>
    <t>Proceeds from sale of non-current asset held for sale (net of selling costs)</t>
  </si>
  <si>
    <t>Proceeds from the sale of property plant and equipment</t>
  </si>
  <si>
    <t>Acquisition of put options</t>
  </si>
  <si>
    <t>Investment in fixed-term deposits</t>
  </si>
  <si>
    <t>Cash flows from financing activities</t>
  </si>
  <si>
    <t>Dividends paid</t>
  </si>
  <si>
    <t>Bonds - solar bond issue receipts (net of transaction cost)</t>
  </si>
  <si>
    <t>Net cash used in financing activities</t>
  </si>
  <si>
    <t>Net (decrease)/increase in cash and cash equivalents</t>
  </si>
  <si>
    <t>Effect of exchange rate fluctuations on cash and cash equivalents</t>
  </si>
  <si>
    <t>Net cash and cash equivalents at the beginning of the period</t>
  </si>
  <si>
    <t>Net cash and cash equivalents at the end of the period</t>
  </si>
  <si>
    <t>Column2</t>
  </si>
  <si>
    <t>Column3</t>
  </si>
  <si>
    <t>Exploration and evaluation assets</t>
  </si>
  <si>
    <t>102,813</t>
  </si>
  <si>
    <t>97,326</t>
  </si>
  <si>
    <t>94,272</t>
  </si>
  <si>
    <t>202,046</t>
  </si>
  <si>
    <t>189,456</t>
  </si>
  <si>
    <t>179,649</t>
  </si>
  <si>
    <t>303</t>
  </si>
  <si>
    <t>264</t>
  </si>
  <si>
    <t>153</t>
  </si>
  <si>
    <t>305,162</t>
  </si>
  <si>
    <t>287,046</t>
  </si>
  <si>
    <t>274,074</t>
  </si>
  <si>
    <t>-</t>
  </si>
  <si>
    <t>355</t>
  </si>
  <si>
    <t>1,120</t>
  </si>
  <si>
    <t>28,684</t>
  </si>
  <si>
    <t>23,768</t>
  </si>
  <si>
    <t>20,304</t>
  </si>
  <si>
    <t>88</t>
  </si>
  <si>
    <t>Trade and other receivables</t>
  </si>
  <si>
    <t>11,094</t>
  </si>
  <si>
    <t>12,675</t>
  </si>
  <si>
    <t>9,952</t>
  </si>
  <si>
    <t>14,148</t>
  </si>
  <si>
    <t>6,748</t>
  </si>
  <si>
    <t>2,538</t>
  </si>
  <si>
    <t>Fixed term deposit</t>
  </si>
  <si>
    <t>18,500</t>
  </si>
  <si>
    <t>Cash and cash equivalents</t>
  </si>
  <si>
    <t>15,670</t>
  </si>
  <si>
    <t>4,260</t>
  </si>
  <si>
    <t>6,708</t>
  </si>
  <si>
    <t>13,512</t>
  </si>
  <si>
    <t>13,519</t>
  </si>
  <si>
    <t>88,096</t>
  </si>
  <si>
    <t>61,318</t>
  </si>
  <si>
    <t>54,229</t>
  </si>
  <si>
    <t>393,258</t>
  </si>
  <si>
    <t>348,364</t>
  </si>
  <si>
    <t>328,303</t>
  </si>
  <si>
    <t>Equity and liabilities</t>
  </si>
  <si>
    <t>166,234</t>
  </si>
  <si>
    <t>165,408</t>
  </si>
  <si>
    <t>165,068</t>
  </si>
  <si>
    <t>138,875</t>
  </si>
  <si>
    <t>138,465</t>
  </si>
  <si>
    <t>137,819</t>
  </si>
  <si>
    <t>(53,581)</t>
  </si>
  <si>
    <t>(89,996)</t>
  </si>
  <si>
    <t>(97,143)</t>
  </si>
  <si>
    <t>Equity attributable to equity holders of the parent</t>
  </si>
  <si>
    <t>251,528</t>
  </si>
  <si>
    <t>213,877</t>
  </si>
  <si>
    <t>205,744</t>
  </si>
  <si>
    <t>24,943</t>
  </si>
  <si>
    <t>20,587</t>
  </si>
  <si>
    <t>18,456</t>
  </si>
  <si>
    <t>276,471</t>
  </si>
  <si>
    <t>234,464</t>
  </si>
  <si>
    <t>224,200</t>
  </si>
  <si>
    <t>Liabilities</t>
  </si>
  <si>
    <t>50,422</t>
  </si>
  <si>
    <t>48,418</t>
  </si>
  <si>
    <t>46,123</t>
  </si>
  <si>
    <t>10,324</t>
  </si>
  <si>
    <t>9,664</t>
  </si>
  <si>
    <t>10,985</t>
  </si>
  <si>
    <t>Loans and borrowings</t>
  </si>
  <si>
    <t>1,313</t>
  </si>
  <si>
    <t>1,500</t>
  </si>
  <si>
    <t>Loan note instruments</t>
  </si>
  <si>
    <t>2,455</t>
  </si>
  <si>
    <t>8,313</t>
  </si>
  <si>
    <t>6,447</t>
  </si>
  <si>
    <t>Cash-settled share-based payment</t>
  </si>
  <si>
    <t>1,821</t>
  </si>
  <si>
    <t>411</t>
  </si>
  <si>
    <t>374</t>
  </si>
  <si>
    <t>Lease liabilities</t>
  </si>
  <si>
    <t>927</t>
  </si>
  <si>
    <t>199</t>
  </si>
  <si>
    <t>41</t>
  </si>
  <si>
    <t>67,262</t>
  </si>
  <si>
    <t>68,505</t>
  </si>
  <si>
    <t>63,970</t>
  </si>
  <si>
    <t>2,236</t>
  </si>
  <si>
    <t>634</t>
  </si>
  <si>
    <t>920</t>
  </si>
  <si>
    <t>6,530</t>
  </si>
  <si>
    <t>2,958</t>
  </si>
  <si>
    <t>10</t>
  </si>
  <si>
    <t>259</t>
  </si>
  <si>
    <t>95</t>
  </si>
  <si>
    <t>167</t>
  </si>
  <si>
    <t>1,281</t>
  </si>
  <si>
    <t>1,174</t>
  </si>
  <si>
    <t>9,175</t>
  </si>
  <si>
    <t>855</t>
  </si>
  <si>
    <t>665</t>
  </si>
  <si>
    <t>Trade and other payables</t>
  </si>
  <si>
    <t>21,652</t>
  </si>
  <si>
    <t>26,647</t>
  </si>
  <si>
    <t>20,503</t>
  </si>
  <si>
    <t>Overdrafts</t>
  </si>
  <si>
    <t>8,392</t>
  </si>
  <si>
    <t>12,928</t>
  </si>
  <si>
    <t>17,740</t>
  </si>
  <si>
    <t>Liabilities associated with assets held for sale</t>
  </si>
  <si>
    <t>104</t>
  </si>
  <si>
    <t>128</t>
  </si>
  <si>
    <t>49,525</t>
  </si>
  <si>
    <t>45,395</t>
  </si>
  <si>
    <t>40,133</t>
  </si>
  <si>
    <t>116,787</t>
  </si>
  <si>
    <t>113,900</t>
  </si>
  <si>
    <t>104,103</t>
  </si>
  <si>
    <t>Total equity and liabilities</t>
  </si>
  <si>
    <t>revenue</t>
  </si>
  <si>
    <t xml:space="preserve">debt schedule </t>
  </si>
  <si>
    <t>loan notes instrument</t>
  </si>
  <si>
    <t xml:space="preserve">loans and borrowings </t>
  </si>
  <si>
    <t>nterest rate @8.25 fixed +12 month sofr</t>
  </si>
  <si>
    <t xml:space="preserve">principal </t>
  </si>
  <si>
    <t>principal payment</t>
  </si>
  <si>
    <t>interest  payment</t>
  </si>
  <si>
    <t>total sofr int rate @ 9.75%</t>
  </si>
  <si>
    <t>balance on principal</t>
  </si>
  <si>
    <t xml:space="preserve">coupon rate </t>
  </si>
  <si>
    <t>yield to maturity (years)</t>
  </si>
  <si>
    <t>bonds issuance ($)</t>
  </si>
  <si>
    <t/>
  </si>
  <si>
    <t>TOTAL</t>
  </si>
  <si>
    <t>contractual cashflows(outflows)</t>
  </si>
  <si>
    <t>loan instruments</t>
  </si>
  <si>
    <t>capex as %  of revenue</t>
  </si>
  <si>
    <t>days inventory outstanding</t>
  </si>
  <si>
    <t>trade receivables days oustanding</t>
  </si>
  <si>
    <t>contractual payments</t>
  </si>
  <si>
    <t>trade and other payables</t>
  </si>
  <si>
    <t>lease liabilities</t>
  </si>
  <si>
    <t>overdrafts</t>
  </si>
  <si>
    <t xml:space="preserve">loan notes payable </t>
  </si>
  <si>
    <t>days payable outstanding</t>
  </si>
  <si>
    <t>coupon redemption</t>
  </si>
  <si>
    <t>finance cost</t>
  </si>
  <si>
    <t>coupon payments</t>
  </si>
  <si>
    <t>Column5</t>
  </si>
  <si>
    <t>Unaudited</t>
  </si>
  <si>
    <t>2025</t>
  </si>
  <si>
    <t>Restated^{*}</t>
  </si>
  <si>
    <t>71,440</t>
  </si>
  <si>
    <t>46,868</t>
  </si>
  <si>
    <t>135,503</t>
  </si>
  <si>
    <t>(3,487)</t>
  </si>
  <si>
    <t>(2,422)</t>
  </si>
  <si>
    <t>(6,831)</t>
  </si>
  <si>
    <t>(27,136)</t>
  </si>
  <si>
    <t>(21,085)</t>
  </si>
  <si>
    <t>(60,505)</t>
  </si>
  <si>
    <t>(3,969)</t>
  </si>
  <si>
    <t>(4,048)</t>
  </si>
  <si>
    <t>(12,106)</t>
  </si>
  <si>
    <t>36,848</t>
  </si>
  <si>
    <t>19,313</t>
  </si>
  <si>
    <t>56,061</t>
  </si>
  <si>
    <t>Net foreign exchange loss</t>
  </si>
  <si>
    <t>(671)</t>
  </si>
  <si>
    <t>(3,132)</t>
  </si>
  <si>
    <t>(10,196)</t>
  </si>
  <si>
    <t>(4,293)</t>
  </si>
  <si>
    <t>(3,954)</t>
  </si>
  <si>
    <t>(10,229)</t>
  </si>
  <si>
    <t>Fair value loss on derivative financial instrument</t>
  </si>
  <si>
    <t>(20)</t>
  </si>
  <si>
    <t>(496)</t>
  </si>
  <si>
    <t>(365)</t>
  </si>
  <si>
    <t>(279)</t>
  </si>
  <si>
    <t>(785)</t>
  </si>
  <si>
    <t>(995)</t>
  </si>
  <si>
    <t>(422)</t>
  </si>
  <si>
    <t>(479)</t>
  </si>
  <si>
    <t>(1,083)</t>
  </si>
  <si>
    <t>(2,814)</t>
  </si>
  <si>
    <t>(4,078)</t>
  </si>
  <si>
    <t>81</t>
  </si>
  <si>
    <t>16</t>
  </si>
  <si>
    <t>365</t>
  </si>
  <si>
    <t>Profit on the sale of non-current assets held for sale</t>
  </si>
  <si>
    <t>29,522</t>
  </si>
  <si>
    <t>8,708</t>
  </si>
  <si>
    <t>30,163</t>
  </si>
  <si>
    <t>201</t>
  </si>
  <si>
    <t>7</t>
  </si>
  <si>
    <t>(870)</t>
  </si>
  <si>
    <t>(831)</t>
  </si>
  <si>
    <t>(2,360)</t>
  </si>
  <si>
    <t>28,853</t>
  </si>
  <si>
    <t>7,884</t>
  </si>
  <si>
    <t>27,819</t>
  </si>
  <si>
    <t>(10,199)</t>
  </si>
  <si>
    <t>(4,600)</t>
  </si>
  <si>
    <t>(12,281)</t>
  </si>
  <si>
    <t>Profit for the period</t>
  </si>
  <si>
    <t>18,654</t>
  </si>
  <si>
    <t>3,284</t>
  </si>
  <si>
    <t>15,538</t>
  </si>
  <si>
    <t>net derivate gains (loss)</t>
  </si>
  <si>
    <t>ounces per month hedged (oz)</t>
  </si>
  <si>
    <t xml:space="preserve">ounces per year hedged </t>
  </si>
  <si>
    <t>cost of premium per once  ($)</t>
  </si>
  <si>
    <t xml:space="preserve">years of hedge agreement </t>
  </si>
  <si>
    <t>net derivative gains (loss))</t>
  </si>
  <si>
    <t>forecasted gold price</t>
  </si>
  <si>
    <t>derivative strike price</t>
  </si>
  <si>
    <t>forecasted minus strike price difference</t>
  </si>
  <si>
    <t xml:space="preserve">gold derivate put option strike price </t>
  </si>
  <si>
    <t>cost of premium per ounce</t>
  </si>
  <si>
    <t>net gain (loss) per ounce</t>
  </si>
  <si>
    <t>total net gain (loss)</t>
  </si>
  <si>
    <t>gold hedged (oz) per year</t>
  </si>
  <si>
    <t>FIDELITY DISCOUNTED BUYING PRICE</t>
  </si>
  <si>
    <t>Scenario</t>
  </si>
  <si>
    <t>Original Units</t>
  </si>
  <si>
    <t>Perf. Multiplier</t>
  </si>
  <si>
    <t>Adjusted Units</t>
  </si>
  <si>
    <t>Fair Value ($)</t>
  </si>
  <si>
    <t>Total Grant Cost ($)</t>
  </si>
  <si>
    <t>Annual Expense ($)</t>
  </si>
  <si>
    <t>Bear Case</t>
  </si>
  <si>
    <t>$10.02</t>
  </si>
  <si>
    <t>$84,168</t>
  </si>
  <si>
    <t>$28,056</t>
  </si>
  <si>
    <t>Base Case</t>
  </si>
  <si>
    <t>$200,400</t>
  </si>
  <si>
    <t>$66,800</t>
  </si>
  <si>
    <t>Bull Case</t>
  </si>
  <si>
    <t>$210,420</t>
  </si>
  <si>
    <t>$70,140</t>
  </si>
  <si>
    <t>Column6</t>
  </si>
  <si>
    <t>Column7</t>
  </si>
  <si>
    <t>Column8</t>
  </si>
  <si>
    <t>Finance cost paid</t>
  </si>
  <si>
    <t>3,157</t>
  </si>
  <si>
    <t>3,024</t>
  </si>
  <si>
    <t>657</t>
  </si>
  <si>
    <t>Non cash - loan note interest (note 31)</t>
  </si>
  <si>
    <t>(86)</t>
  </si>
  <si>
    <t>(363)</t>
  </si>
  <si>
    <t>(302)</t>
  </si>
  <si>
    <t>Non cash - Unwinding of rehabilitation provision (note 29)</t>
  </si>
  <si>
    <t>(197)</t>
  </si>
  <si>
    <t>(109)</t>
  </si>
  <si>
    <t>(132)</t>
  </si>
  <si>
    <t>Non cash - Trade payables</t>
  </si>
  <si>
    <t>(68)</t>
  </si>
  <si>
    <t>Non cash - Finance cost on leases (note 19)</t>
  </si>
  <si>
    <t>(10)</t>
  </si>
  <si>
    <t>(22)</t>
  </si>
  <si>
    <t>(31)</t>
  </si>
  <si>
    <t>2,864</t>
  </si>
  <si>
    <t>2,462</t>
  </si>
  <si>
    <t>192</t>
  </si>
  <si>
    <t>Tax recognised in profit or loss</t>
  </si>
  <si>
    <t>Current tax</t>
  </si>
  <si>
    <t>15,310</t>
  </si>
  <si>
    <t>7,642</t>
  </si>
  <si>
    <t>9,932</t>
  </si>
  <si>
    <t>Income tax - current year</t>
  </si>
  <si>
    <t>14,382</t>
  </si>
  <si>
    <t>4,821</t>
  </si>
  <si>
    <t>8,707</t>
  </si>
  <si>
    <t>Income tax - change in tax estimate</t>
  </si>
  <si>
    <t>1,944</t>
  </si>
  <si>
    <t>(46)</t>
  </si>
  <si>
    <t>Withholding tax - current year</t>
  </si>
  <si>
    <t>928</t>
  </si>
  <si>
    <t>867</t>
  </si>
  <si>
    <t>1,271</t>
  </si>
  <si>
    <t>Acquisition of Bilboes Gold tax liability</t>
  </si>
  <si>
    <t>Deferred tax expense</t>
  </si>
  <si>
    <t>2,179</t>
  </si>
  <si>
    <t>5,168</t>
  </si>
  <si>
    <t>^{*} 4,427</t>
  </si>
  <si>
    <t>Origination and reversal of temporary differences</t>
  </si>
  <si>
    <t>Tax expense –</t>
  </si>
  <si>
    <t>recognised in profit or loss</t>
  </si>
  <si>
    <t>17,489</t>
  </si>
  <si>
    <t>12,810</t>
  </si>
  <si>
    <t>^{*} 14,359</t>
  </si>
  <si>
    <t>Tax recognised in other comprehensive income
Income tax - current year</t>
  </si>
  <si>
    <t>^{*} Restated, refer to note 41.</t>
  </si>
  <si>
    <t>Unrecognised deferred tax assets</t>
  </si>
  <si>
    <t>Bilboes Holdings (Private) Limited</t>
  </si>
  <si>
    <t>4,428</t>
  </si>
  <si>
    <t>^{*} 4,447</t>
  </si>
  <si>
    <t>—</t>
  </si>
  <si>
    <t>Caledonia Holdings Zimbabwe (Private) Limited</t>
  </si>
  <si>
    <t>mining</t>
  </si>
  <si>
    <t>2,942</t>
  </si>
  <si>
    <t>Caledonia Holdings Zimbabwe (Private) Limited - services</t>
  </si>
  <si>
    <t>3,438</t>
  </si>
  <si>
    <t>1,805</t>
  </si>
  <si>
    <t>Blanket Employee Trust Services (Private) Limited</t>
  </si>
  <si>
    <t>330</t>
  </si>
  <si>
    <t>260</t>
  </si>
  <si>
    <t>227</t>
  </si>
  <si>
    <t>Caledonia Mining Services (Private) Limited</t>
  </si>
  <si>
    <t>69</t>
  </si>
  <si>
    <t>Greenstone Management Services (Pty) Ltd (UK)^{@}</t>
  </si>
  <si>
    <t>359</t>
  </si>
  <si>
    <t>144</t>
  </si>
  <si>
    <t>176</t>
  </si>
  <si>
    <t>Tax losses carried forward</t>
  </si>
  <si>
    <t>11,497</t>
  </si>
  <si>
    <t>9,598</t>
  </si>
  <si>
    <t>2,277</t>
  </si>
  <si>
    <t>GOLD PRICE (forecast) (000)</t>
  </si>
  <si>
    <t>REVENUE (000)</t>
  </si>
  <si>
    <t>Volatility</t>
  </si>
  <si>
    <t>loans and borrowing ST</t>
  </si>
  <si>
    <t>loans and borrowings LT</t>
  </si>
  <si>
    <t>property plant and equipment</t>
  </si>
  <si>
    <t xml:space="preserve">prepayments </t>
  </si>
  <si>
    <t>Opening Balance</t>
  </si>
  <si>
    <t>Expense Recognised</t>
  </si>
  <si>
    <t>Closing Balance</t>
  </si>
  <si>
    <t>assumed 12 month sofr =1%</t>
  </si>
  <si>
    <t xml:space="preserve"> prepayment as % of opex</t>
  </si>
  <si>
    <t>addition to prepayments</t>
  </si>
  <si>
    <t>opex</t>
  </si>
  <si>
    <t>PUs</t>
  </si>
  <si>
    <t>PUs_1</t>
  </si>
  <si>
    <t>Risk free rate</t>
  </si>
  <si>
    <t>Fair value (USD)</t>
  </si>
  <si>
    <t>Share price (USD)</t>
  </si>
  <si>
    <t>0.77</t>
  </si>
  <si>
    <t>0.90</t>
  </si>
  <si>
    <t>January exercise price – 2020 awards (USD)</t>
  </si>
  <si>
    <t>13.10</t>
  </si>
  <si>
    <t>January exercise price</t>
  </si>
  <si>
    <t>2021 awards (USD)</t>
  </si>
  <si>
    <t>11.89</t>
  </si>
  <si>
    <t>2022 awards (USD)</t>
  </si>
  <si>
    <t>April exercise price –</t>
  </si>
  <si>
    <t>2023 awards (USD)</t>
  </si>
  <si>
    <t>10.87</t>
  </si>
  <si>
    <t>January exercise price 2021</t>
  </si>
  <si>
    <t>January exercise price2022</t>
  </si>
  <si>
    <t>April exercise price –2023</t>
  </si>
  <si>
    <t>share capital schedule</t>
  </si>
  <si>
    <t>Equity-settled share-based expense growth rate</t>
  </si>
  <si>
    <t>cash settle to equity settle share base expense  ratio</t>
  </si>
  <si>
    <t>Grant date</t>
  </si>
  <si>
    <t>January 24, 2022</t>
  </si>
  <si>
    <t>April 7, 2023</t>
  </si>
  <si>
    <t>April 8, 2024</t>
  </si>
  <si>
    <t>May 13, 2024</t>
  </si>
  <si>
    <t>Number of units</t>
  </si>
  <si>
    <t>remaining at</t>
  </si>
  <si>
    <t>113,693</t>
  </si>
  <si>
    <t>80,773</t>
  </si>
  <si>
    <t>125,433</t>
  </si>
  <si>
    <t>13,140</t>
  </si>
  <si>
    <t>reporting date</t>
  </si>
  <si>
    <t>Share price (USD) - grant date</t>
  </si>
  <si>
    <t>11.50</t>
  </si>
  <si>
    <t>16.91</t>
  </si>
  <si>
    <t>10.91</t>
  </si>
  <si>
    <t>10.01</t>
  </si>
  <si>
    <t>Fair value (USD) - grant date</t>
  </si>
  <si>
    <t>10.15</t>
  </si>
  <si>
    <t>15.33</t>
  </si>
  <si>
    <t>9.53</t>
  </si>
  <si>
    <t>10.02</t>
  </si>
  <si>
    <t>Performance</t>
  </si>
  <si>
    <t>multiplier</t>
  </si>
  <si>
    <t>percentage</t>
  </si>
  <si>
    <t>at</t>
  </si>
  <si>
    <t>100 %</t>
  </si>
  <si>
    <t>grant date</t>
  </si>
  <si>
    <t>105 %</t>
  </si>
  <si>
    <t>42 %</t>
  </si>
  <si>
    <t>97 %</t>
  </si>
  <si>
    <t xml:space="preserve">share of profits </t>
  </si>
  <si>
    <t xml:space="preserve">onwers of the company </t>
  </si>
  <si>
    <t>non controlling interests</t>
  </si>
  <si>
    <t xml:space="preserve">Retained loss schedule </t>
  </si>
  <si>
    <t>retained loss schedule</t>
  </si>
  <si>
    <t xml:space="preserve">profit (loss) attributable to shareholders </t>
  </si>
  <si>
    <t>dividends paid</t>
  </si>
  <si>
    <t>profit for the year</t>
  </si>
  <si>
    <t>LEASE LIABILLTY SCHEDULE</t>
  </si>
  <si>
    <t>opening liability</t>
  </si>
  <si>
    <t xml:space="preserve">lease payment </t>
  </si>
  <si>
    <t>closing lease liability balance</t>
  </si>
  <si>
    <t>lease libility opening bal</t>
  </si>
  <si>
    <t>lease libility closing bal</t>
  </si>
  <si>
    <t>int  on lease liab (finance cost)</t>
  </si>
  <si>
    <t>int  rate as % of opening balance</t>
  </si>
  <si>
    <t>Less than one year</t>
  </si>
  <si>
    <t>175</t>
  </si>
  <si>
    <t>One to two years</t>
  </si>
  <si>
    <t>42</t>
  </si>
  <si>
    <t>Two to three years</t>
  </si>
  <si>
    <t>Three to four years</t>
  </si>
  <si>
    <t>Total lease payments</t>
  </si>
  <si>
    <t>217</t>
  </si>
  <si>
    <t>(9)</t>
  </si>
  <si>
    <t>Present value of lease liabilities</t>
  </si>
  <si>
    <t>208</t>
  </si>
  <si>
    <t>Consumable stores^{*}</t>
  </si>
  <si>
    <t>18,001</t>
  </si>
  <si>
    <t>Gold in progress and Ore Stockpile^{@}</t>
  </si>
  <si>
    <t>2,303</t>
  </si>
  <si>
    <t>LEASE LIABILITIES</t>
  </si>
  <si>
    <t>opening balance</t>
  </si>
  <si>
    <t>equity raised</t>
  </si>
  <si>
    <t>opening balances</t>
  </si>
  <si>
    <t>bilboes small l scale revenue</t>
  </si>
  <si>
    <t>Share issued on incentive awards</t>
  </si>
  <si>
    <t>closing balance</t>
  </si>
  <si>
    <t>bilboes forecasted production (oz)</t>
  </si>
  <si>
    <t xml:space="preserve">bilboes production cost (AISC) per ounce </t>
  </si>
  <si>
    <t>assumptions</t>
  </si>
  <si>
    <t>net cash used in investment activities</t>
  </si>
  <si>
    <t>Acquisition of property, plant and equipment as% of capex</t>
  </si>
  <si>
    <t>Acquisition of exploration and evaluation assetsas % of capex</t>
  </si>
  <si>
    <t>capex on exploration as % of total capex</t>
  </si>
  <si>
    <t>CAPEX</t>
  </si>
  <si>
    <t>capex on ppe as %  of total  capex</t>
  </si>
  <si>
    <t xml:space="preserve">DEPRECIATION   </t>
  </si>
  <si>
    <t xml:space="preserve">dividend per share </t>
  </si>
  <si>
    <t>number of shares issued</t>
  </si>
  <si>
    <t>dividends paid (000)</t>
  </si>
  <si>
    <t>effective corporate tax rate</t>
  </si>
  <si>
    <t>overdraft schedule</t>
  </si>
  <si>
    <t xml:space="preserve">increase(decrease )of overdraft </t>
  </si>
  <si>
    <t>closing balace</t>
  </si>
  <si>
    <t>increase (decrease) of overdraft as % of cash</t>
  </si>
  <si>
    <t>June 30,</t>
  </si>
  <si>
    <t>54,111</t>
  </si>
  <si>
    <t>21,455</t>
  </si>
  <si>
    <t>Adjustments for:</t>
  </si>
  <si>
    <t>Unrealised foreign exchange losses / (gains) (note 7)</t>
  </si>
  <si>
    <t>560</t>
  </si>
  <si>
    <t>272</t>
  </si>
  <si>
    <t>Cash-settled share-based expense (note 9.1)</t>
  </si>
  <si>
    <t>Share-based expense included in production costs (note 9)</t>
  </si>
  <si>
    <t>Cash portion of cash-settled share-based expense</t>
  </si>
  <si>
    <t>Equity-settled share-based expense (note 9.2)</t>
  </si>
  <si>
    <t>Depreciation (note 13)</t>
  </si>
  <si>
    <t>Fair value loss on derivative instruments</t>
  </si>
  <si>
    <t>Gain on disposal of property, plant and equipment</t>
  </si>
  <si>
    <t>Cash generated from operations before working capital changes</t>
  </si>
  <si>
    <t>Increase in inventories</t>
  </si>
  <si>
    <t>Increase in prepayments</t>
  </si>
  <si>
    <t>Decrease in trade and other receivables</t>
  </si>
  <si>
    <t>Increase/(decrease) in trade and other payables</t>
  </si>
  <si>
    <t>capex on ppe</t>
  </si>
  <si>
    <t xml:space="preserve">redemption of bond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</si>
  <si>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fixed term deposit</t>
  </si>
  <si>
    <t>EBITDA  MARGIN</t>
  </si>
  <si>
    <t>GROSS PROFIT MARGIN</t>
  </si>
  <si>
    <t>PROFIT BEFEFORE TAX MARGIN</t>
  </si>
  <si>
    <t>PROFIT  AFTER TAX MARGIN</t>
  </si>
  <si>
    <t>RETURN ON INVESTMENT CAPITAL  (ROIC)</t>
  </si>
  <si>
    <t>RETURN ON ASSETS (ROA)</t>
  </si>
  <si>
    <t>RETURN ON EQUITY (ROE)</t>
  </si>
  <si>
    <t>EBITDA</t>
  </si>
  <si>
    <t>WACC</t>
  </si>
  <si>
    <t>Equity</t>
  </si>
  <si>
    <t xml:space="preserve">Debt </t>
  </si>
  <si>
    <t>Cost of debt</t>
  </si>
  <si>
    <t xml:space="preserve">tax rate </t>
  </si>
  <si>
    <t>d/(D+E)</t>
  </si>
  <si>
    <t>after Tax Cost of Debt</t>
  </si>
  <si>
    <t xml:space="preserve">Risk free rate (10 yr </t>
  </si>
  <si>
    <t>expected market return</t>
  </si>
  <si>
    <t>market risk premium</t>
  </si>
  <si>
    <t>levered beta</t>
  </si>
  <si>
    <t xml:space="preserve">MARKET DATA </t>
  </si>
  <si>
    <t>company</t>
  </si>
  <si>
    <t>ticker</t>
  </si>
  <si>
    <t>share price</t>
  </si>
  <si>
    <t>shares outstanding</t>
  </si>
  <si>
    <t>equity value</t>
  </si>
  <si>
    <t>net debt</t>
  </si>
  <si>
    <t>enterprise value</t>
  </si>
  <si>
    <t>financial data</t>
  </si>
  <si>
    <t>valuation</t>
  </si>
  <si>
    <t xml:space="preserve">Net income </t>
  </si>
  <si>
    <t>EV/REVENUE</t>
  </si>
  <si>
    <t>EV/EBITDA</t>
  </si>
  <si>
    <t>P/E</t>
  </si>
  <si>
    <t>Gold Fields</t>
  </si>
  <si>
    <t>Kinross Gold</t>
  </si>
  <si>
    <t>Caledonia Mining</t>
  </si>
  <si>
    <t>Padenga (Dallaglio)</t>
  </si>
  <si>
    <t>Pan African</t>
  </si>
  <si>
    <t>$1.01**</t>
  </si>
  <si>
    <t>$42.21**</t>
  </si>
  <si>
    <t>$33.1 B</t>
  </si>
  <si>
    <t>**$37.8 B</t>
  </si>
  <si>
    <t>~$40 M</t>
  </si>
  <si>
    <t>($35 M)</t>
  </si>
  <si>
    <t>$150 M</t>
  </si>
  <si>
    <t>($500 M)</t>
  </si>
  <si>
    <t>$1.50 B</t>
  </si>
  <si>
    <t>**$175 M**</t>
  </si>
  <si>
    <t>$448 M**</t>
  </si>
  <si>
    <t>$2.20 B</t>
  </si>
  <si>
    <t>$32.6 B**</t>
  </si>
  <si>
    <t>$39.3 B</t>
  </si>
  <si>
    <t>$228 M</t>
  </si>
  <si>
    <t>**$240 M</t>
  </si>
  <si>
    <t>$540 M</t>
  </si>
  <si>
    <t>**$4.50 B</t>
  </si>
  <si>
    <t>$5.20 B</t>
  </si>
  <si>
    <t>$88 M</t>
  </si>
  <si>
    <t>$120 M**</t>
  </si>
  <si>
    <t>$227 M</t>
  </si>
  <si>
    <t>$2.70 B**</t>
  </si>
  <si>
    <t>$2.70 B</t>
  </si>
  <si>
    <t>$56 M</t>
  </si>
  <si>
    <t>**$65 M</t>
  </si>
  <si>
    <t>$142 M</t>
  </si>
  <si>
    <t>**$1.00 B</t>
  </si>
  <si>
    <t>$1.29 B</t>
  </si>
  <si>
    <t>check</t>
  </si>
  <si>
    <t>Finance cost - lease liability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</si>
</sst>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-* #,##0.00_-;\-* #,##0.00_-;_-* &quot;-&quot;??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0.0%"/>
    <numFmt numFmtId="167" formatCode="0.0"/>
    <numFmt numFmtId="168" formatCode="0.000"/>
    <numFmt numFmtId="169" formatCode="0.000%"/>
    <numFmt numFmtId="170" formatCode="0.0000"/>
    <numFmt numFmtId="171" formatCode="&quot;$&quot;#,##0.00"/>
  </numFmts>
  <fonts count="2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0" tint="-4.9989318521683403E-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0.14999847407452621"/>
      <name val="Calibri"/>
      <family val="2"/>
      <scheme val="minor"/>
    </font>
    <font>
      <b/>
      <sz val="11"/>
      <color theme="0" tint="-0.14999847407452621"/>
      <name val="Calibri"/>
      <family val="2"/>
      <scheme val="minor"/>
    </font>
    <font>
      <b/>
      <sz val="18"/>
      <color theme="0" tint="-0.1499984740745262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b/>
      <sz val="16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 tint="-4.9989318521683403E-2"/>
      <name val="Calibri"/>
      <family val="2"/>
      <scheme val="minor"/>
    </font>
    <font>
      <sz val="18"/>
      <color theme="0" tint="-4.9989318521683403E-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 tint="-4.9989318521683403E-2"/>
      <name val="Calibri"/>
      <family val="2"/>
      <scheme val="minor"/>
    </font>
    <font>
      <sz val="11"/>
      <color theme="3" tint="-0.249977111117893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9" tint="0.79998168889431442"/>
      </patternFill>
    </fill>
    <fill>
      <patternFill patternType="solid">
        <fgColor theme="3" tint="0.39997558519241921"/>
        <bgColor theme="9" tint="0.79998168889431442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2" tint="-0.749992370372631"/>
        <bgColor theme="9" tint="0.79998168889431442"/>
      </patternFill>
    </fill>
    <fill>
      <patternFill patternType="solid">
        <fgColor theme="0" tint="-4.9989318521683403E-2"/>
        <bgColor theme="9" tint="0.79998168889431442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-0.249977111117893"/>
        <bgColor theme="9" tint="0.79998168889431442"/>
      </patternFill>
    </fill>
    <fill>
      <patternFill patternType="solid">
        <fgColor theme="0" tint="-0.14999847407452621"/>
        <bgColor theme="9" tint="0.79998168889431442"/>
      </patternFill>
    </fill>
    <fill>
      <patternFill patternType="solid">
        <fgColor theme="9"/>
        <bgColor theme="9"/>
      </patternFill>
    </fill>
    <fill>
      <patternFill patternType="solid">
        <fgColor theme="9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24" fillId="0" borderId="0"/>
  </cellStyleXfs>
  <cellXfs count="173">
    <xf numFmtId="0" fontId="0" fillId="0" borderId="0" xfId="0"/>
    <xf numFmtId="0" fontId="0" fillId="3" borderId="0" xfId="0" applyFill="1"/>
    <xf numFmtId="0" fontId="0" fillId="4" borderId="0" xfId="0" applyFill="1"/>
    <xf numFmtId="0" fontId="2" fillId="3" borderId="0" xfId="0" applyFont="1" applyFill="1"/>
    <xf numFmtId="164" fontId="0" fillId="0" borderId="0" xfId="0" applyNumberFormat="1"/>
    <xf numFmtId="164" fontId="0" fillId="3" borderId="0" xfId="0" applyNumberFormat="1" applyFill="1"/>
    <xf numFmtId="164" fontId="0" fillId="4" borderId="0" xfId="0" applyNumberFormat="1" applyFill="1"/>
    <xf numFmtId="165" fontId="0" fillId="0" borderId="0" xfId="0" applyNumberFormat="1"/>
    <xf numFmtId="165" fontId="0" fillId="3" borderId="0" xfId="0" applyNumberFormat="1" applyFill="1"/>
    <xf numFmtId="165" fontId="0" fillId="4" borderId="0" xfId="0" applyNumberFormat="1" applyFill="1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0" fillId="4" borderId="0" xfId="1" applyNumberFormat="1" applyFont="1" applyFill="1"/>
    <xf numFmtId="0" fontId="1" fillId="0" borderId="0" xfId="0" applyFont="1" applyAlignment="1">
      <alignment horizontal="center" vertical="top"/>
    </xf>
    <xf numFmtId="10" fontId="0" fillId="4" borderId="0" xfId="2" applyNumberFormat="1" applyFont="1" applyFill="1"/>
    <xf numFmtId="0" fontId="0" fillId="6" borderId="0" xfId="0" applyFill="1"/>
    <xf numFmtId="0" fontId="0" fillId="7" borderId="0" xfId="0" applyFill="1"/>
    <xf numFmtId="0" fontId="5" fillId="7" borderId="0" xfId="0" applyFont="1" applyFill="1"/>
    <xf numFmtId="0" fontId="6" fillId="7" borderId="0" xfId="0" applyFont="1" applyFill="1"/>
    <xf numFmtId="0" fontId="7" fillId="7" borderId="0" xfId="0" applyFont="1" applyFill="1"/>
    <xf numFmtId="0" fontId="0" fillId="0" borderId="0" xfId="0" applyAlignment="1">
      <alignment horizontal="left"/>
    </xf>
    <xf numFmtId="0" fontId="8" fillId="7" borderId="0" xfId="0" applyFont="1" applyFill="1"/>
    <xf numFmtId="165" fontId="8" fillId="8" borderId="0" xfId="0" applyNumberFormat="1" applyFont="1" applyFill="1"/>
    <xf numFmtId="165" fontId="8" fillId="8" borderId="0" xfId="1" applyNumberFormat="1" applyFont="1" applyFill="1" applyAlignment="1">
      <alignment vertical="center"/>
    </xf>
    <xf numFmtId="165" fontId="8" fillId="3" borderId="0" xfId="0" applyNumberFormat="1" applyFont="1" applyFill="1"/>
    <xf numFmtId="165" fontId="8" fillId="3" borderId="0" xfId="1" applyNumberFormat="1" applyFont="1" applyFill="1" applyAlignment="1">
      <alignment vertical="center"/>
    </xf>
    <xf numFmtId="165" fontId="0" fillId="6" borderId="0" xfId="0" applyNumberFormat="1" applyFill="1"/>
    <xf numFmtId="165" fontId="0" fillId="6" borderId="0" xfId="1" applyNumberFormat="1" applyFont="1" applyFill="1" applyAlignment="1">
      <alignment vertical="center"/>
    </xf>
    <xf numFmtId="165" fontId="0" fillId="6" borderId="0" xfId="1" applyNumberFormat="1" applyFont="1" applyFill="1"/>
    <xf numFmtId="165" fontId="2" fillId="9" borderId="0" xfId="0" applyNumberFormat="1" applyFont="1" applyFill="1"/>
    <xf numFmtId="0" fontId="0" fillId="10" borderId="3" xfId="0" applyFill="1" applyBorder="1"/>
    <xf numFmtId="0" fontId="0" fillId="0" borderId="3" xfId="0" applyBorder="1"/>
    <xf numFmtId="0" fontId="0" fillId="0" borderId="5" xfId="0" applyBorder="1"/>
    <xf numFmtId="0" fontId="0" fillId="10" borderId="5" xfId="0" applyFill="1" applyBorder="1"/>
    <xf numFmtId="0" fontId="0" fillId="0" borderId="5" xfId="0" applyBorder="1" applyAlignment="1">
      <alignment horizontal="left"/>
    </xf>
    <xf numFmtId="0" fontId="0" fillId="10" borderId="5" xfId="0" applyFill="1" applyBorder="1" applyAlignment="1">
      <alignment horizontal="left"/>
    </xf>
    <xf numFmtId="3" fontId="0" fillId="0" borderId="3" xfId="0" applyNumberFormat="1" applyBorder="1" applyAlignment="1">
      <alignment horizontal="left"/>
    </xf>
    <xf numFmtId="0" fontId="0" fillId="14" borderId="0" xfId="0" applyFill="1"/>
    <xf numFmtId="0" fontId="0" fillId="16" borderId="5" xfId="0" applyFill="1" applyBorder="1"/>
    <xf numFmtId="2" fontId="0" fillId="0" borderId="0" xfId="0" applyNumberFormat="1"/>
    <xf numFmtId="0" fontId="0" fillId="17" borderId="0" xfId="0" applyFill="1"/>
    <xf numFmtId="0" fontId="8" fillId="8" borderId="0" xfId="0" applyFont="1" applyFill="1"/>
    <xf numFmtId="43" fontId="0" fillId="0" borderId="0" xfId="0" applyNumberFormat="1"/>
    <xf numFmtId="43" fontId="0" fillId="3" borderId="0" xfId="0" applyNumberFormat="1" applyFill="1"/>
    <xf numFmtId="43" fontId="0" fillId="5" borderId="0" xfId="0" applyNumberFormat="1" applyFill="1"/>
    <xf numFmtId="43" fontId="0" fillId="6" borderId="0" xfId="0" applyNumberFormat="1" applyFill="1"/>
    <xf numFmtId="43" fontId="8" fillId="8" borderId="0" xfId="0" applyNumberFormat="1" applyFont="1" applyFill="1"/>
    <xf numFmtId="0" fontId="8" fillId="17" borderId="0" xfId="0" applyFont="1" applyFill="1"/>
    <xf numFmtId="43" fontId="8" fillId="17" borderId="0" xfId="0" applyNumberFormat="1" applyFont="1" applyFill="1"/>
    <xf numFmtId="0" fontId="8" fillId="17" borderId="0" xfId="2" applyNumberFormat="1" applyFont="1" applyFill="1"/>
    <xf numFmtId="43" fontId="0" fillId="17" borderId="0" xfId="0" applyNumberFormat="1" applyFill="1"/>
    <xf numFmtId="0" fontId="2" fillId="17" borderId="0" xfId="0" applyFont="1" applyFill="1"/>
    <xf numFmtId="43" fontId="2" fillId="17" borderId="0" xfId="0" applyNumberFormat="1" applyFont="1" applyFill="1"/>
    <xf numFmtId="0" fontId="8" fillId="3" borderId="0" xfId="0" applyFont="1" applyFill="1"/>
    <xf numFmtId="0" fontId="11" fillId="3" borderId="0" xfId="0" applyFont="1" applyFill="1"/>
    <xf numFmtId="43" fontId="8" fillId="3" borderId="0" xfId="0" applyNumberFormat="1" applyFont="1" applyFill="1"/>
    <xf numFmtId="43" fontId="0" fillId="3" borderId="0" xfId="2" applyNumberFormat="1" applyFont="1" applyFill="1"/>
    <xf numFmtId="43" fontId="8" fillId="6" borderId="0" xfId="0" applyNumberFormat="1" applyFont="1" applyFill="1"/>
    <xf numFmtId="0" fontId="8" fillId="6" borderId="0" xfId="0" applyFont="1" applyFill="1"/>
    <xf numFmtId="166" fontId="0" fillId="6" borderId="0" xfId="2" applyNumberFormat="1" applyFont="1" applyFill="1"/>
    <xf numFmtId="1" fontId="0" fillId="6" borderId="0" xfId="0" applyNumberFormat="1" applyFill="1"/>
    <xf numFmtId="43" fontId="12" fillId="6" borderId="0" xfId="0" applyNumberFormat="1" applyFont="1" applyFill="1"/>
    <xf numFmtId="0" fontId="10" fillId="6" borderId="0" xfId="0" applyFont="1" applyFill="1"/>
    <xf numFmtId="0" fontId="10" fillId="5" borderId="0" xfId="0" applyFont="1" applyFill="1" applyAlignment="1">
      <alignment horizontal="left"/>
    </xf>
    <xf numFmtId="0" fontId="2" fillId="18" borderId="0" xfId="0" applyFont="1" applyFill="1"/>
    <xf numFmtId="43" fontId="0" fillId="6" borderId="0" xfId="0" quotePrefix="1" applyNumberFormat="1" applyFill="1"/>
    <xf numFmtId="10" fontId="0" fillId="6" borderId="0" xfId="2" applyNumberFormat="1" applyFont="1" applyFill="1" applyAlignment="1">
      <alignment horizontal="left"/>
    </xf>
    <xf numFmtId="0" fontId="10" fillId="2" borderId="0" xfId="0" applyFont="1" applyFill="1"/>
    <xf numFmtId="0" fontId="11" fillId="2" borderId="0" xfId="0" applyFont="1" applyFill="1"/>
    <xf numFmtId="2" fontId="0" fillId="6" borderId="0" xfId="0" applyNumberFormat="1" applyFill="1"/>
    <xf numFmtId="2" fontId="0" fillId="6" borderId="0" xfId="2" applyNumberFormat="1" applyFont="1" applyFill="1"/>
    <xf numFmtId="2" fontId="0" fillId="6" borderId="0" xfId="0" applyNumberFormat="1" applyFill="1" applyAlignment="1">
      <alignment horizontal="left"/>
    </xf>
    <xf numFmtId="0" fontId="0" fillId="19" borderId="0" xfId="0" applyFill="1"/>
    <xf numFmtId="43" fontId="0" fillId="19" borderId="0" xfId="0" applyNumberFormat="1" applyFill="1"/>
    <xf numFmtId="2" fontId="0" fillId="19" borderId="0" xfId="0" applyNumberFormat="1" applyFill="1" applyAlignment="1">
      <alignment horizontal="left"/>
    </xf>
    <xf numFmtId="164" fontId="0" fillId="6" borderId="0" xfId="0" applyNumberFormat="1" applyFill="1"/>
    <xf numFmtId="0" fontId="14" fillId="0" borderId="6" xfId="0" applyFont="1" applyBorder="1" applyAlignment="1">
      <alignment vertical="center" wrapText="1" readingOrder="1"/>
    </xf>
    <xf numFmtId="3" fontId="13" fillId="0" borderId="6" xfId="0" applyNumberFormat="1" applyFont="1" applyBorder="1" applyAlignment="1">
      <alignment vertical="center" wrapText="1" readingOrder="1"/>
    </xf>
    <xf numFmtId="10" fontId="14" fillId="0" borderId="6" xfId="0" applyNumberFormat="1" applyFont="1" applyBorder="1" applyAlignment="1">
      <alignment vertical="center" wrapText="1" readingOrder="1"/>
    </xf>
    <xf numFmtId="0" fontId="13" fillId="0" borderId="6" xfId="0" applyFont="1" applyBorder="1" applyAlignment="1">
      <alignment vertical="center" wrapText="1" readingOrder="1"/>
    </xf>
    <xf numFmtId="9" fontId="0" fillId="6" borderId="0" xfId="2" applyFont="1" applyFill="1"/>
    <xf numFmtId="0" fontId="0" fillId="11" borderId="3" xfId="0" applyFill="1" applyBorder="1" applyAlignment="1">
      <alignment horizontal="right"/>
    </xf>
    <xf numFmtId="0" fontId="0" fillId="12" borderId="3" xfId="0" applyFill="1" applyBorder="1" applyAlignment="1">
      <alignment horizontal="right"/>
    </xf>
    <xf numFmtId="0" fontId="0" fillId="12" borderId="5" xfId="0" applyFill="1" applyBorder="1" applyAlignment="1">
      <alignment horizontal="right"/>
    </xf>
    <xf numFmtId="0" fontId="0" fillId="13" borderId="3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2" borderId="0" xfId="0" applyFill="1" applyAlignment="1">
      <alignment horizontal="right"/>
    </xf>
    <xf numFmtId="0" fontId="2" fillId="14" borderId="3" xfId="0" applyFont="1" applyFill="1" applyBorder="1" applyAlignment="1">
      <alignment horizontal="right"/>
    </xf>
    <xf numFmtId="0" fontId="4" fillId="7" borderId="0" xfId="0" applyFont="1" applyFill="1"/>
    <xf numFmtId="0" fontId="2" fillId="15" borderId="3" xfId="0" applyFont="1" applyFill="1" applyBorder="1" applyAlignment="1">
      <alignment horizontal="right"/>
    </xf>
    <xf numFmtId="1" fontId="0" fillId="0" borderId="0" xfId="0" applyNumberFormat="1"/>
    <xf numFmtId="2" fontId="0" fillId="12" borderId="3" xfId="0" applyNumberFormat="1" applyFill="1" applyBorder="1" applyAlignment="1">
      <alignment horizontal="right"/>
    </xf>
    <xf numFmtId="0" fontId="15" fillId="3" borderId="0" xfId="0" applyFont="1" applyFill="1"/>
    <xf numFmtId="0" fontId="16" fillId="5" borderId="0" xfId="0" applyFont="1" applyFill="1"/>
    <xf numFmtId="0" fontId="17" fillId="3" borderId="0" xfId="0" applyFont="1" applyFill="1"/>
    <xf numFmtId="0" fontId="18" fillId="5" borderId="0" xfId="0" applyFont="1" applyFill="1"/>
    <xf numFmtId="0" fontId="19" fillId="3" borderId="0" xfId="0" applyFont="1" applyFill="1"/>
    <xf numFmtId="0" fontId="20" fillId="3" borderId="0" xfId="0" applyFont="1" applyFill="1"/>
    <xf numFmtId="9" fontId="0" fillId="6" borderId="0" xfId="0" applyNumberFormat="1" applyFill="1"/>
    <xf numFmtId="2" fontId="0" fillId="2" borderId="0" xfId="0" applyNumberFormat="1" applyFill="1"/>
    <xf numFmtId="1" fontId="0" fillId="2" borderId="0" xfId="0" applyNumberFormat="1" applyFill="1"/>
    <xf numFmtId="2" fontId="8" fillId="7" borderId="0" xfId="0" applyNumberFormat="1" applyFont="1" applyFill="1"/>
    <xf numFmtId="0" fontId="11" fillId="17" borderId="0" xfId="0" applyFont="1" applyFill="1"/>
    <xf numFmtId="2" fontId="8" fillId="3" borderId="0" xfId="0" applyNumberFormat="1" applyFont="1" applyFill="1"/>
    <xf numFmtId="0" fontId="8" fillId="3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20" borderId="3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0" fillId="21" borderId="4" xfId="0" applyFill="1" applyBorder="1" applyAlignment="1">
      <alignment horizontal="left"/>
    </xf>
    <xf numFmtId="0" fontId="0" fillId="21" borderId="3" xfId="0" applyFill="1" applyBorder="1" applyAlignment="1">
      <alignment horizontal="left"/>
    </xf>
    <xf numFmtId="0" fontId="0" fillId="4" borderId="4" xfId="0" applyFill="1" applyBorder="1" applyAlignment="1">
      <alignment horizontal="left"/>
    </xf>
    <xf numFmtId="0" fontId="0" fillId="4" borderId="3" xfId="0" applyFill="1" applyBorder="1" applyAlignment="1">
      <alignment horizontal="left"/>
    </xf>
    <xf numFmtId="0" fontId="8" fillId="3" borderId="4" xfId="0" applyFont="1" applyFill="1" applyBorder="1" applyAlignment="1">
      <alignment horizontal="left"/>
    </xf>
    <xf numFmtId="0" fontId="8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3" xfId="0" applyFont="1" applyFill="1" applyBorder="1" applyAlignment="1">
      <alignment horizontal="left"/>
    </xf>
    <xf numFmtId="165" fontId="8" fillId="6" borderId="0" xfId="0" applyNumberFormat="1" applyFont="1" applyFill="1"/>
    <xf numFmtId="9" fontId="0" fillId="4" borderId="0" xfId="2" applyFont="1" applyFill="1"/>
    <xf numFmtId="9" fontId="0" fillId="4" borderId="0" xfId="0" applyNumberFormat="1" applyFill="1"/>
    <xf numFmtId="0" fontId="0" fillId="0" borderId="4" xfId="0" applyBorder="1"/>
    <xf numFmtId="0" fontId="0" fillId="10" borderId="4" xfId="0" applyFill="1" applyBorder="1"/>
    <xf numFmtId="0" fontId="10" fillId="3" borderId="0" xfId="0" applyFont="1" applyFill="1"/>
    <xf numFmtId="0" fontId="0" fillId="6" borderId="0" xfId="0" applyFill="1" applyAlignment="1">
      <alignment wrapText="1"/>
    </xf>
    <xf numFmtId="0" fontId="0" fillId="4" borderId="7" xfId="0" applyFill="1" applyBorder="1"/>
    <xf numFmtId="166" fontId="0" fillId="4" borderId="0" xfId="2" applyNumberFormat="1" applyFont="1" applyFill="1"/>
    <xf numFmtId="3" fontId="0" fillId="0" borderId="0" xfId="0" applyNumberFormat="1"/>
    <xf numFmtId="2" fontId="0" fillId="11" borderId="3" xfId="0" applyNumberFormat="1" applyFill="1" applyBorder="1" applyAlignment="1">
      <alignment horizontal="right"/>
    </xf>
    <xf numFmtId="1" fontId="0" fillId="13" borderId="3" xfId="0" applyNumberFormat="1" applyFill="1" applyBorder="1" applyAlignment="1">
      <alignment horizontal="right"/>
    </xf>
    <xf numFmtId="1" fontId="8" fillId="7" borderId="0" xfId="0" applyNumberFormat="1" applyFont="1" applyFill="1"/>
    <xf numFmtId="2" fontId="0" fillId="2" borderId="1" xfId="0" applyNumberFormat="1" applyFill="1" applyBorder="1"/>
    <xf numFmtId="0" fontId="11" fillId="22" borderId="7" xfId="0" applyFont="1" applyFill="1" applyBorder="1"/>
    <xf numFmtId="0" fontId="8" fillId="9" borderId="0" xfId="0" applyFont="1" applyFill="1"/>
    <xf numFmtId="0" fontId="8" fillId="9" borderId="0" xfId="0" applyFont="1" applyFill="1" applyAlignment="1">
      <alignment horizontal="left"/>
    </xf>
    <xf numFmtId="0" fontId="8" fillId="9" borderId="4" xfId="0" applyFont="1" applyFill="1" applyBorder="1" applyAlignment="1">
      <alignment horizontal="left"/>
    </xf>
    <xf numFmtId="0" fontId="8" fillId="9" borderId="3" xfId="0" applyFont="1" applyFill="1" applyBorder="1" applyAlignment="1">
      <alignment horizontal="left"/>
    </xf>
    <xf numFmtId="167" fontId="0" fillId="6" borderId="0" xfId="0" applyNumberFormat="1" applyFill="1"/>
    <xf numFmtId="43" fontId="0" fillId="4" borderId="0" xfId="0" applyNumberFormat="1" applyFill="1"/>
    <xf numFmtId="2" fontId="0" fillId="4" borderId="0" xfId="0" applyNumberFormat="1" applyFill="1"/>
    <xf numFmtId="0" fontId="0" fillId="4" borderId="5" xfId="0" applyFill="1" applyBorder="1"/>
    <xf numFmtId="0" fontId="0" fillId="4" borderId="3" xfId="0" applyFill="1" applyBorder="1"/>
    <xf numFmtId="0" fontId="0" fillId="4" borderId="4" xfId="0" applyFill="1" applyBorder="1"/>
    <xf numFmtId="0" fontId="0" fillId="21" borderId="5" xfId="0" applyFill="1" applyBorder="1"/>
    <xf numFmtId="0" fontId="0" fillId="21" borderId="3" xfId="0" applyFill="1" applyBorder="1"/>
    <xf numFmtId="0" fontId="0" fillId="21" borderId="4" xfId="0" applyFill="1" applyBorder="1"/>
    <xf numFmtId="0" fontId="21" fillId="0" borderId="0" xfId="0" applyFont="1"/>
    <xf numFmtId="165" fontId="0" fillId="17" borderId="0" xfId="0" applyNumberFormat="1" applyFill="1"/>
    <xf numFmtId="165" fontId="2" fillId="17" borderId="0" xfId="0" applyNumberFormat="1" applyFont="1" applyFill="1"/>
    <xf numFmtId="165" fontId="22" fillId="17" borderId="0" xfId="0" applyNumberFormat="1" applyFont="1" applyFill="1"/>
    <xf numFmtId="165" fontId="16" fillId="6" borderId="0" xfId="0" applyNumberFormat="1" applyFont="1" applyFill="1"/>
    <xf numFmtId="165" fontId="15" fillId="3" borderId="0" xfId="0" applyNumberFormat="1" applyFont="1" applyFill="1"/>
    <xf numFmtId="168" fontId="0" fillId="0" borderId="0" xfId="0" applyNumberFormat="1"/>
    <xf numFmtId="9" fontId="0" fillId="0" borderId="0" xfId="2" applyFont="1"/>
    <xf numFmtId="9" fontId="0" fillId="0" borderId="0" xfId="0" applyNumberFormat="1"/>
    <xf numFmtId="169" fontId="0" fillId="0" borderId="0" xfId="2" applyNumberFormat="1" applyFont="1"/>
    <xf numFmtId="170" fontId="0" fillId="0" borderId="0" xfId="0" applyNumberFormat="1"/>
    <xf numFmtId="0" fontId="0" fillId="23" borderId="0" xfId="0" applyFill="1"/>
    <xf numFmtId="0" fontId="23" fillId="3" borderId="0" xfId="0" applyFont="1" applyFill="1"/>
    <xf numFmtId="0" fontId="25" fillId="0" borderId="0" xfId="0" applyFont="1"/>
    <xf numFmtId="171" fontId="25" fillId="0" borderId="0" xfId="0" applyNumberFormat="1" applyFont="1"/>
    <xf numFmtId="0" fontId="26" fillId="0" borderId="0" xfId="0" applyFont="1"/>
    <xf numFmtId="0" fontId="26" fillId="11" borderId="0" xfId="0" applyFont="1" applyFill="1" applyAlignment="1">
      <alignment horizontal="right"/>
    </xf>
    <xf numFmtId="0" fontId="0" fillId="4" borderId="0" xfId="0" applyFont="1" applyFill="1"/>
    <xf numFmtId="2" fontId="26" fillId="11" borderId="0" xfId="0" applyNumberFormat="1" applyFont="1" applyFill="1" applyAlignment="1">
      <alignment horizontal="right"/>
    </xf>
    <xf numFmtId="43" fontId="0" fillId="11" borderId="3" xfId="0" applyNumberFormat="1" applyFill="1" applyBorder="1" applyAlignment="1">
      <alignment horizontal="right"/>
    </xf>
    <xf numFmtId="0" fontId="0" fillId="0" borderId="3" xfId="0" applyFill="1" applyBorder="1" applyAlignment="1">
      <alignment horizontal="right"/>
    </xf>
    <xf numFmtId="0" fontId="0" fillId="0" borderId="0" xfId="0" applyFill="1"/>
    <xf numFmtId="2" fontId="0" fillId="0" borderId="3" xfId="0" applyNumberFormat="1" applyFill="1" applyBorder="1" applyAlignment="1">
      <alignment horizontal="right"/>
    </xf>
    <xf numFmtId="165" fontId="10" fillId="6" borderId="0" xfId="0" applyNumberFormat="1" applyFont="1" applyFill="1"/>
    <xf numFmtId="165" fontId="10" fillId="0" borderId="0" xfId="0" applyNumberFormat="1" applyFont="1"/>
    <xf numFmtId="0" fontId="10" fillId="0" borderId="0" xfId="0" applyFont="1"/>
    <xf numFmtId="2" fontId="0" fillId="7" borderId="0" xfId="0" applyNumberFormat="1" applyFill="1"/>
    <xf numFmtId="43" fontId="0" fillId="0" borderId="3" xfId="0" applyNumberFormat="1" applyFill="1" applyBorder="1" applyAlignment="1">
      <alignment horizontal="right"/>
    </xf>
  </cellXfs>
  <cellStyles count="4">
    <cellStyle name="Currency" xfId="1" builtinId="4"/>
    <cellStyle name="Normal" xfId="0" builtinId="0"/>
    <cellStyle name="Normal 2" xfId="3" xr:uid="{7AA320D2-5B5C-4DC1-9EAD-E5079CCDAB33}"/>
    <cellStyle name="Percent" xfId="2" builtinId="5"/>
  </cellStyles>
  <dxfs count="3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6" xr16:uid="{74587E0E-F377-42EC-AE41-70FCBAFB45C9}" autoFormatId="16" applyNumberFormats="0" applyBorderFormats="0" applyFontFormats="0" applyPatternFormats="0" applyAlignmentFormats="0" applyWidthHeightFormats="0">
  <queryTableRefresh nextId="6">
    <queryTableFields count="2">
      <queryTableField id="1" name="Column1" tableColumnId="1"/>
      <queryTableField id="4" name="Column4" tableColumnId="4"/>
    </queryTableFields>
    <queryTableDeletedFields count="3">
      <deletedField name="Column2"/>
      <deletedField name="Column3"/>
      <deletedField name="Column5"/>
    </queryTableDeleted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53E657FF-E7EA-4963-BFCE-52F9EE261F95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PUs" tableColumnId="2"/>
      <queryTableField id="3" name="PUs_1" tableColumnId="3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9" xr16:uid="{E824DC9E-9850-4B50-AD23-54CD8F9F6347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454F191-A4FF-4263-8A14-B9A54501FA05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3" xr16:uid="{428620BA-1168-4441-B8B7-79F0E6333096}" autoFormatId="16" applyNumberFormats="0" applyBorderFormats="0" applyFontFormats="0" applyPatternFormats="0" applyAlignmentFormats="0" applyWidthHeightFormats="0">
  <queryTableRefresh nextId="4">
    <queryTableFields count="3">
      <queryTableField id="1" name="Column1" tableColumnId="1"/>
      <queryTableField id="2" name="Column2" tableColumnId="2"/>
      <queryTableField id="3" name="Column3" tableColumnId="3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1" xr16:uid="{D1705D79-50E0-4CED-B8B1-CFCC5133E672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8094E565-794F-4DCA-B9DD-EFF0805C20EC}" autoFormatId="16" applyNumberFormats="0" applyBorderFormats="0" applyFontFormats="0" applyPatternFormats="0" applyAlignmentFormats="0" applyWidthHeightFormats="0">
  <queryTableRefresh nextId="6">
    <queryTableFields count="5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</queryTable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2" xr16:uid="{162FEDBE-596F-4C10-9EE7-70CBBA80B1F4}" autoFormatId="16" applyNumberFormats="0" applyBorderFormats="0" applyFontFormats="0" applyPatternFormats="0" applyAlignmentFormats="0" applyWidthHeightFormats="0">
  <queryTableRefresh nextId="9">
    <queryTableFields count="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7A9FE208-A937-4DAE-8858-5613A804FC36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C557599-A259-4959-A0DE-4B7489E0243C}" name="Table020__Page_13" displayName="Table020__Page_13" ref="A1:B26" tableType="queryTable" totalsRowShown="0">
  <autoFilter ref="A1:B26" xr:uid="{FC557599-A259-4959-A0DE-4B7489E0243C}"/>
  <tableColumns count="2">
    <tableColumn id="1" xr3:uid="{9E8CFB26-1FB7-4AF5-8958-E42CA38480B6}" uniqueName="1" name="Column1" queryTableFieldId="1" dataDxfId="37"/>
    <tableColumn id="4" xr3:uid="{A5E2DA05-8148-4812-8DE6-987AC67526C5}" uniqueName="4" name="Column4" queryTableFieldId="4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38942B36-DFA0-4DD0-80F8-E9770443104D}" name="Table065__Page_40" displayName="Table065__Page_40" ref="A1:C4" tableType="queryTable" totalsRowShown="0">
  <autoFilter ref="A1:C4" xr:uid="{38942B36-DFA0-4DD0-80F8-E9770443104D}"/>
  <tableColumns count="3">
    <tableColumn id="1" xr3:uid="{47FFCF84-13AE-469F-8650-B68587F76ECB}" uniqueName="1" name="Column1" queryTableFieldId="1" dataDxfId="36"/>
    <tableColumn id="2" xr3:uid="{7BA269EA-2FA8-4A1F-9C03-8E34C2DE6319}" uniqueName="2" name="PUs" queryTableFieldId="2"/>
    <tableColumn id="3" xr3:uid="{BA050145-E5EE-4344-993F-37C658C58059}" uniqueName="3" name="PUs_1" queryTableField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4163B53-559F-4C95-A96E-10CC58C17492}" name="Table066__Page_409" displayName="Table066__Page_409" ref="A5:E10" tableType="queryTable" totalsRowShown="0">
  <autoFilter ref="A5:E10" xr:uid="{04163B53-559F-4C95-A96E-10CC58C17492}"/>
  <tableColumns count="5">
    <tableColumn id="1" xr3:uid="{9D67A862-7B14-4D9E-B34D-E5B72D63FCD5}" uniqueName="1" name="Column1" queryTableFieldId="1" dataDxfId="35"/>
    <tableColumn id="2" xr3:uid="{5A91E17F-B100-4FFC-B7C8-497E9407384E}" uniqueName="2" name="Column2" queryTableFieldId="2" dataDxfId="34"/>
    <tableColumn id="3" xr3:uid="{55F32040-618B-451D-8ACC-DEDC62D0CD51}" uniqueName="3" name="Column3" queryTableFieldId="3" dataDxfId="33"/>
    <tableColumn id="4" xr3:uid="{B23C5992-4AE1-4956-AF4D-1213176E3304}" uniqueName="4" name="Column4" queryTableFieldId="4" dataDxfId="32"/>
    <tableColumn id="5" xr3:uid="{9DD43A36-4358-4BE8-9075-C472B49335E6}" uniqueName="5" name="Column5" queryTableFieldId="5" dataDxfId="31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C7CA7B4-E309-4CCA-A923-C9B584F688C9}" name="Table066__Page_40" displayName="Table066__Page_40" ref="A1:E6" tableType="queryTable" totalsRowShown="0">
  <autoFilter ref="A1:E6" xr:uid="{EC7CA7B4-E309-4CCA-A923-C9B584F688C9}"/>
  <tableColumns count="5">
    <tableColumn id="1" xr3:uid="{E1E8A713-9BAD-41B6-8B46-9B99CF1A9CF4}" uniqueName="1" name="Column1" queryTableFieldId="1" dataDxfId="30"/>
    <tableColumn id="2" xr3:uid="{41A22B74-3875-4D0D-9F12-FB665202BBDC}" uniqueName="2" name="Column2" queryTableFieldId="2" dataDxfId="29"/>
    <tableColumn id="3" xr3:uid="{2BC21A30-3E5E-43D3-9C15-C71B6876D6E2}" uniqueName="3" name="Column3" queryTableFieldId="3" dataDxfId="28"/>
    <tableColumn id="4" xr3:uid="{7CC1F67F-7663-4495-8C66-FBD08FBD642E}" uniqueName="4" name="Column4" queryTableFieldId="4" dataDxfId="27"/>
    <tableColumn id="5" xr3:uid="{29EA4F9F-5CF5-4766-B1DA-A908F466E3FD}" uniqueName="5" name="Column5" queryTableFieldId="5" dataDxfId="26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4A1E2DC-4F6E-4106-BEC3-9B1B638C4F43}" name="Table100__Page_56" displayName="Table100__Page_56" ref="A1:C13" tableType="queryTable" totalsRowShown="0">
  <autoFilter ref="A1:C13" xr:uid="{04A1E2DC-4F6E-4106-BEC3-9B1B638C4F43}"/>
  <tableColumns count="3">
    <tableColumn id="1" xr3:uid="{7E630200-28BB-4617-B04F-97C90E142D8A}" uniqueName="1" name="Column1" queryTableFieldId="1" dataDxfId="25"/>
    <tableColumn id="2" xr3:uid="{49E76AC3-AEED-4C69-81AC-8970108C6248}" uniqueName="2" name="Column2" queryTableFieldId="2"/>
    <tableColumn id="3" xr3:uid="{F19AC9C5-9AA6-40D3-8462-DB36AC69BE1E}" uniqueName="3" name="Column3" queryTableFieldId="3" dataDxfId="24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DA4C306-8674-4B4A-8FCB-0B02F22E9C55}" name="Table070__Page_42" displayName="Table070__Page_42" ref="A1:H9" tableType="queryTable" totalsRowShown="0">
  <autoFilter ref="A1:H9" xr:uid="{1DA4C306-8674-4B4A-8FCB-0B02F22E9C55}"/>
  <tableColumns count="8">
    <tableColumn id="1" xr3:uid="{4372EAA4-0B78-42B1-8FAF-7DD2F4702C6C}" uniqueName="1" name="Column1" queryTableFieldId="1" dataDxfId="23"/>
    <tableColumn id="2" xr3:uid="{DE5A2A66-FEC0-4FCA-B7C7-41349374341B}" uniqueName="2" name="Column2" queryTableFieldId="2" dataDxfId="22"/>
    <tableColumn id="3" xr3:uid="{D78B26BD-FD60-4541-8284-F1702DC8BF28}" uniqueName="3" name="Column3" queryTableFieldId="3" dataDxfId="21"/>
    <tableColumn id="4" xr3:uid="{A7FB5995-420C-4620-9A70-EB1305C78098}" uniqueName="4" name="Column4" queryTableFieldId="4" dataDxfId="20"/>
    <tableColumn id="5" xr3:uid="{FA8DA0BF-D741-4B11-80F4-4CAD13795E20}" uniqueName="5" name="Column5" queryTableFieldId="5" dataDxfId="19"/>
    <tableColumn id="6" xr3:uid="{E8252FD8-905E-4D6A-9713-A62F6F920FF4}" uniqueName="6" name="Column6" queryTableFieldId="6" dataDxfId="18"/>
    <tableColumn id="7" xr3:uid="{77A19385-293B-4CE8-A15E-BE4F359C15AF}" uniqueName="7" name="Column7" queryTableFieldId="7" dataDxfId="17"/>
    <tableColumn id="8" xr3:uid="{E01EFDCA-0C5B-48C2-831F-5043FA306978}" uniqueName="8" name="Column8" queryTableFieldId="8" dataDxfId="16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740F2F5-2202-4595-9CBF-98E086EFB1C1}" name="Table015__Page_11" displayName="Table015__Page_11" ref="A1:E22" tableType="queryTable" totalsRowShown="0">
  <autoFilter ref="A1:E22" xr:uid="{E740F2F5-2202-4595-9CBF-98E086EFB1C1}"/>
  <tableColumns count="5">
    <tableColumn id="1" xr3:uid="{FF2E235D-5DEF-4AB8-B647-385D8020B0CB}" uniqueName="1" name="Column1" queryTableFieldId="1" dataDxfId="15"/>
    <tableColumn id="2" xr3:uid="{7E80CC97-9BD1-4033-840C-52B8C8785523}" uniqueName="2" name="Column2" queryTableFieldId="2" dataDxfId="14"/>
    <tableColumn id="3" xr3:uid="{E9EBC599-DCA3-4884-A36E-A23D7A40209C}" uniqueName="3" name="Column3" queryTableFieldId="3" dataDxfId="13"/>
    <tableColumn id="4" xr3:uid="{748CAAD9-49CB-463C-BCE8-EEF5197CFBC2}" uniqueName="4" name="Column4" queryTableFieldId="4"/>
    <tableColumn id="5" xr3:uid="{DD793134-85BC-47F3-ADAF-7CCA789F72A7}" uniqueName="5" name="Column5" queryTableFieldId="5" dataDxfId="1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0B88BF2-E30B-4128-A7CA-581A08370E79}" name="Table075__Page_45" displayName="Table075__Page_45" ref="A1:H29" tableType="queryTable" totalsRowShown="0">
  <autoFilter ref="A1:H29" xr:uid="{50B88BF2-E30B-4128-A7CA-581A08370E79}"/>
  <tableColumns count="8">
    <tableColumn id="1" xr3:uid="{80F4F70C-1D7B-4A64-9D52-50BC9B47E7C4}" uniqueName="1" name="Column1" queryTableFieldId="1" dataDxfId="11"/>
    <tableColumn id="2" xr3:uid="{920658EE-425D-47F0-ACD8-2BCE400B9E53}" uniqueName="2" name="Column2" queryTableFieldId="2" dataDxfId="10"/>
    <tableColumn id="3" xr3:uid="{BE074CD9-F593-4C62-AC51-CA997AE9E02E}" uniqueName="3" name="Column3" queryTableFieldId="3" dataDxfId="9"/>
    <tableColumn id="4" xr3:uid="{8FD81FF7-178E-4F59-A7DD-D2546F60B87F}" uniqueName="4" name="Column4" queryTableFieldId="4" dataDxfId="8"/>
    <tableColumn id="5" xr3:uid="{B0FB9152-D61E-4FAA-B0A1-F5C0858D2ECD}" uniqueName="5" name="Column5" queryTableFieldId="5" dataDxfId="7"/>
    <tableColumn id="6" xr3:uid="{B315EF02-2F0E-468C-B658-EE884DCB013C}" uniqueName="6" name="Column6" queryTableFieldId="6" dataDxfId="6"/>
    <tableColumn id="7" xr3:uid="{8F23AABC-5D67-466B-B115-D1B88D8AB482}" uniqueName="7" name="Column7" queryTableFieldId="7" dataDxfId="5"/>
    <tableColumn id="8" xr3:uid="{BD950775-FCAB-4F91-A4AC-827D8B23086A}" uniqueName="8" name="Column8" queryTableFieldId="8" dataDxfId="4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16FF888-45E5-448B-9AAB-0EC92C15E9EA}" name="Table018__Page_12" displayName="Table018__Page_12" ref="A1:D41" tableType="queryTable" totalsRowShown="0">
  <autoFilter ref="A1:D41" xr:uid="{916FF888-45E5-448B-9AAB-0EC92C15E9EA}"/>
  <tableColumns count="4">
    <tableColumn id="1" xr3:uid="{F9912AEC-A411-42EF-9AD3-045991F0B8BA}" uniqueName="1" name="Column1" queryTableFieldId="1" dataDxfId="3"/>
    <tableColumn id="2" xr3:uid="{381FB9B8-CC80-4760-B999-DC9FEB9250E5}" uniqueName="2" name="Column2" queryTableFieldId="2" dataDxfId="2"/>
    <tableColumn id="3" xr3:uid="{FA25CEAC-47A6-445D-A02F-56D3E7C95AF6}" uniqueName="3" name="Column3" queryTableFieldId="3" dataDxfId="1"/>
    <tableColumn id="4" xr3:uid="{B7D85B1D-B81D-4188-8020-420F8F8E6E94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66"/>
  <sheetViews>
    <sheetView zoomScale="86" zoomScaleNormal="70" workbookViewId="0">
      <pane ySplit="1" topLeftCell="A157" activePane="bottomLeft" state="frozen"/>
      <selection pane="bottomLeft" activeCell="L46" sqref="L46"/>
    </sheetView>
  </sheetViews>
  <sheetFormatPr defaultRowHeight="14.5" x14ac:dyDescent="0.35"/>
  <cols>
    <col min="1" max="1" width="36.08984375" customWidth="1"/>
    <col min="2" max="2" width="21.54296875" customWidth="1"/>
    <col min="3" max="4" width="12.08984375" bestFit="1" customWidth="1"/>
    <col min="5" max="5" width="14.08984375" customWidth="1"/>
    <col min="6" max="6" width="12.6328125" customWidth="1"/>
    <col min="7" max="7" width="15" customWidth="1"/>
    <col min="8" max="8" width="12.36328125" customWidth="1"/>
    <col min="9" max="11" width="12.08984375" bestFit="1" customWidth="1"/>
    <col min="12" max="12" width="9.26953125" bestFit="1" customWidth="1"/>
    <col min="13" max="13" width="22.6328125" customWidth="1"/>
    <col min="15" max="15" width="31.54296875" customWidth="1"/>
    <col min="16" max="16" width="22.81640625" customWidth="1"/>
    <col min="18" max="18" width="14" customWidth="1"/>
  </cols>
  <sheetData>
    <row r="1" spans="1:15" x14ac:dyDescent="0.35">
      <c r="A1" t="s">
        <v>36</v>
      </c>
      <c r="B1" t="s">
        <v>3</v>
      </c>
      <c r="C1" t="s">
        <v>2</v>
      </c>
      <c r="D1" t="s">
        <v>1</v>
      </c>
      <c r="E1" t="s">
        <v>40</v>
      </c>
      <c r="F1" t="s">
        <v>41</v>
      </c>
      <c r="G1" s="21">
        <v>2025</v>
      </c>
      <c r="H1" s="21">
        <v>2026</v>
      </c>
      <c r="I1">
        <v>2027</v>
      </c>
      <c r="J1">
        <v>2028</v>
      </c>
      <c r="K1">
        <v>2029</v>
      </c>
    </row>
    <row r="2" spans="1:15" ht="23.5" x14ac:dyDescent="0.55000000000000004">
      <c r="A2" s="20" t="s">
        <v>78</v>
      </c>
      <c r="B2" s="17"/>
      <c r="C2" s="17"/>
      <c r="D2" s="17"/>
      <c r="E2" s="17"/>
      <c r="F2" s="17"/>
      <c r="G2" s="38"/>
      <c r="H2" s="171">
        <f>H3-G3</f>
        <v>42767.7638216755</v>
      </c>
      <c r="I2" s="17"/>
      <c r="J2" s="17"/>
      <c r="K2" s="17"/>
      <c r="L2" s="17"/>
      <c r="M2" s="17"/>
      <c r="N2" s="17"/>
    </row>
    <row r="3" spans="1:15" x14ac:dyDescent="0.35">
      <c r="A3" t="s">
        <v>37</v>
      </c>
      <c r="B3">
        <v>126479</v>
      </c>
      <c r="C3">
        <v>149102</v>
      </c>
      <c r="D3">
        <v>178983</v>
      </c>
      <c r="E3">
        <v>179649</v>
      </c>
      <c r="F3">
        <v>189456</v>
      </c>
      <c r="G3" s="127">
        <f>G63</f>
        <v>230007.57393389056</v>
      </c>
      <c r="H3" s="40">
        <f>H63</f>
        <v>272775.33775556606</v>
      </c>
      <c r="I3" s="40">
        <f t="shared" ref="I3:K3" si="0">I63</f>
        <v>309623.68818048644</v>
      </c>
      <c r="J3" s="40">
        <f t="shared" si="0"/>
        <v>349543.20958347374</v>
      </c>
      <c r="K3" s="40">
        <f t="shared" si="0"/>
        <v>580483.5490092095</v>
      </c>
      <c r="O3" s="40"/>
    </row>
    <row r="4" spans="1:15" x14ac:dyDescent="0.35">
      <c r="A4" t="s">
        <v>42</v>
      </c>
      <c r="B4">
        <v>6768</v>
      </c>
      <c r="C4">
        <v>8648</v>
      </c>
      <c r="D4">
        <v>17579</v>
      </c>
      <c r="E4">
        <v>94272</v>
      </c>
      <c r="F4">
        <v>97326</v>
      </c>
      <c r="G4" s="40">
        <f>F4+G70</f>
        <v>103488.82499197137</v>
      </c>
      <c r="H4" s="40">
        <f t="shared" ref="H4:K4" si="1">G4+H70</f>
        <v>109869.99939696747</v>
      </c>
      <c r="I4" s="40">
        <f t="shared" si="1"/>
        <v>115894.27127237053</v>
      </c>
      <c r="J4" s="40">
        <f t="shared" si="1"/>
        <v>122520.21135019616</v>
      </c>
      <c r="K4" s="40">
        <f t="shared" si="1"/>
        <v>150681.56669668976</v>
      </c>
      <c r="O4" s="40"/>
    </row>
    <row r="5" spans="1:15" x14ac:dyDescent="0.35">
      <c r="A5" t="s">
        <v>43</v>
      </c>
      <c r="B5">
        <v>87</v>
      </c>
      <c r="C5">
        <v>194</v>
      </c>
      <c r="D5">
        <v>202</v>
      </c>
      <c r="E5">
        <v>153</v>
      </c>
      <c r="F5">
        <v>264</v>
      </c>
      <c r="G5" s="84">
        <f>F5</f>
        <v>264</v>
      </c>
      <c r="H5">
        <f>G5</f>
        <v>264</v>
      </c>
      <c r="I5">
        <f>H5</f>
        <v>264</v>
      </c>
      <c r="J5">
        <f t="shared" ref="J5:K5" si="2">I5</f>
        <v>264</v>
      </c>
      <c r="K5">
        <f t="shared" si="2"/>
        <v>264</v>
      </c>
      <c r="O5" s="40"/>
    </row>
    <row r="6" spans="1:15" x14ac:dyDescent="0.35">
      <c r="A6" s="10" t="s">
        <v>44</v>
      </c>
      <c r="B6" s="10">
        <v>133334</v>
      </c>
      <c r="C6" s="10">
        <v>157944</v>
      </c>
      <c r="D6" s="10">
        <v>196764</v>
      </c>
      <c r="E6" s="10">
        <v>274074</v>
      </c>
      <c r="F6" s="101">
        <f>SUM(F3:F5)</f>
        <v>287046</v>
      </c>
      <c r="G6" s="101">
        <f>SUM(G3:G5)</f>
        <v>333760.39892586193</v>
      </c>
      <c r="H6" s="101">
        <f t="shared" ref="H6:L6" si="3">SUM(H3:H5)</f>
        <v>382909.33715253352</v>
      </c>
      <c r="I6" s="101">
        <f t="shared" si="3"/>
        <v>425781.95945285697</v>
      </c>
      <c r="J6" s="101">
        <f t="shared" si="3"/>
        <v>472327.4209336699</v>
      </c>
      <c r="K6" s="101">
        <f t="shared" si="3"/>
        <v>731429.1157058992</v>
      </c>
      <c r="L6" s="101">
        <f t="shared" si="3"/>
        <v>0</v>
      </c>
      <c r="M6" s="10"/>
      <c r="N6" s="10"/>
      <c r="O6" s="40"/>
    </row>
    <row r="7" spans="1:15" x14ac:dyDescent="0.35">
      <c r="A7" s="10"/>
      <c r="B7" s="10"/>
      <c r="C7" s="10"/>
      <c r="D7" s="10"/>
      <c r="E7" s="10"/>
      <c r="F7" s="10"/>
      <c r="G7" s="85"/>
      <c r="H7" s="85"/>
      <c r="I7" s="10"/>
      <c r="J7" s="10"/>
      <c r="K7" s="10"/>
      <c r="L7" s="10"/>
      <c r="M7" s="10"/>
      <c r="N7" s="10"/>
      <c r="O7" s="40"/>
    </row>
    <row r="8" spans="1:15" x14ac:dyDescent="0.35">
      <c r="A8" t="s">
        <v>38</v>
      </c>
      <c r="B8">
        <v>16798</v>
      </c>
      <c r="C8">
        <v>20812</v>
      </c>
      <c r="D8">
        <v>18334</v>
      </c>
      <c r="E8">
        <v>20304</v>
      </c>
      <c r="F8">
        <v>23768</v>
      </c>
      <c r="G8" s="40">
        <f>-G78*'profit and loss'!G4/365</f>
        <v>27122.92219855345</v>
      </c>
      <c r="H8" s="40">
        <f>-H78*'profit and loss'!H4/365</f>
        <v>18390.134758498843</v>
      </c>
      <c r="I8" s="40">
        <f>-I78*'profit and loss'!I4/365</f>
        <v>19107.42291788142</v>
      </c>
      <c r="J8" s="40">
        <f>-J78*'profit and loss'!J4/365</f>
        <v>19655.762091986529</v>
      </c>
      <c r="K8" s="40">
        <f>-K78*'profit and loss'!K4/365</f>
        <v>82889.375797917659</v>
      </c>
      <c r="O8" s="40"/>
    </row>
    <row r="9" spans="1:15" x14ac:dyDescent="0.35">
      <c r="A9" t="s">
        <v>39</v>
      </c>
      <c r="B9">
        <v>1974</v>
      </c>
      <c r="C9">
        <v>6930</v>
      </c>
      <c r="D9">
        <v>3693</v>
      </c>
      <c r="E9">
        <v>2538</v>
      </c>
      <c r="F9">
        <v>6748</v>
      </c>
      <c r="G9" s="43">
        <f>G74*G82</f>
        <v>6892.7347646495182</v>
      </c>
      <c r="H9" s="43">
        <f>H74*H82</f>
        <v>5544.4807930528541</v>
      </c>
      <c r="I9" s="43">
        <f>I74*I82</f>
        <v>5610.4319953671393</v>
      </c>
      <c r="J9" s="43">
        <f>J74*J82</f>
        <v>5877.8259331409199</v>
      </c>
      <c r="K9" s="43">
        <f>K74*K82</f>
        <v>24841.540090632589</v>
      </c>
      <c r="O9" s="40"/>
    </row>
    <row r="10" spans="1:15" x14ac:dyDescent="0.35">
      <c r="A10" t="s">
        <v>45</v>
      </c>
      <c r="B10">
        <v>4962</v>
      </c>
      <c r="C10">
        <v>7938</v>
      </c>
      <c r="D10">
        <v>9185</v>
      </c>
      <c r="E10">
        <v>9952</v>
      </c>
      <c r="F10">
        <v>12675</v>
      </c>
      <c r="G10" s="40">
        <f>G79*G77/365</f>
        <v>16701.565727141595</v>
      </c>
      <c r="H10" s="40">
        <f>H79*H77/365</f>
        <v>17293.303619725932</v>
      </c>
      <c r="I10" s="40">
        <f t="shared" ref="I10:K10" si="4">I79*I77/365</f>
        <v>16326.079811821788</v>
      </c>
      <c r="J10" s="40">
        <f t="shared" si="4"/>
        <v>17956.630905156875</v>
      </c>
      <c r="K10" s="40">
        <f t="shared" si="4"/>
        <v>76318.689545393107</v>
      </c>
      <c r="O10" s="40"/>
    </row>
    <row r="11" spans="1:15" x14ac:dyDescent="0.35">
      <c r="A11" s="33" t="s">
        <v>157</v>
      </c>
      <c r="G11" s="82">
        <v>18500</v>
      </c>
      <c r="H11">
        <v>0</v>
      </c>
      <c r="I11">
        <v>0</v>
      </c>
      <c r="J11">
        <v>0</v>
      </c>
      <c r="K11">
        <v>0</v>
      </c>
      <c r="O11" s="40"/>
    </row>
    <row r="12" spans="1:15" x14ac:dyDescent="0.35">
      <c r="A12" t="s">
        <v>46</v>
      </c>
      <c r="B12">
        <v>76</v>
      </c>
      <c r="C12">
        <v>101</v>
      </c>
      <c r="D12">
        <v>40</v>
      </c>
      <c r="E12">
        <v>1120</v>
      </c>
      <c r="F12">
        <v>355</v>
      </c>
      <c r="G12" s="86">
        <f>F12</f>
        <v>355</v>
      </c>
      <c r="H12" s="86">
        <f t="shared" ref="H12:K12" si="5">G12</f>
        <v>355</v>
      </c>
      <c r="I12" s="86">
        <f t="shared" si="5"/>
        <v>355</v>
      </c>
      <c r="J12" s="86">
        <f t="shared" si="5"/>
        <v>355</v>
      </c>
      <c r="K12" s="86">
        <f t="shared" si="5"/>
        <v>355</v>
      </c>
      <c r="O12" s="40"/>
    </row>
    <row r="13" spans="1:15" x14ac:dyDescent="0.35">
      <c r="A13" t="s">
        <v>47</v>
      </c>
      <c r="B13">
        <v>1184</v>
      </c>
      <c r="C13">
        <v>0</v>
      </c>
      <c r="D13">
        <v>440</v>
      </c>
      <c r="E13">
        <v>88</v>
      </c>
      <c r="F13">
        <v>0</v>
      </c>
      <c r="G13" s="83">
        <v>0</v>
      </c>
      <c r="H13">
        <v>0</v>
      </c>
      <c r="I13">
        <v>0</v>
      </c>
      <c r="J13">
        <f>'profit and loss'!J87</f>
        <v>3150000.0000000163</v>
      </c>
      <c r="K13">
        <f>J13</f>
        <v>3150000.0000000163</v>
      </c>
      <c r="O13" s="40"/>
    </row>
    <row r="14" spans="1:15" x14ac:dyDescent="0.35">
      <c r="A14" t="s">
        <v>48</v>
      </c>
      <c r="B14">
        <v>19092</v>
      </c>
      <c r="C14">
        <v>17152</v>
      </c>
      <c r="D14">
        <v>6735</v>
      </c>
      <c r="E14">
        <v>6708</v>
      </c>
      <c r="F14">
        <v>4260</v>
      </c>
      <c r="G14" s="40">
        <f>'cashflow sheet'!G49+G44</f>
        <v>19732.244165089956</v>
      </c>
      <c r="H14" s="40">
        <f>'cashflow sheet'!H49+H44</f>
        <v>57034.182410327092</v>
      </c>
      <c r="I14" s="40">
        <f>'cashflow sheet'!I49+I44</f>
        <v>82629.086364227172</v>
      </c>
      <c r="J14" s="40">
        <f>'cashflow sheet'!J49+J44</f>
        <v>-3037967.1207427634</v>
      </c>
      <c r="K14" s="40">
        <f>'cashflow sheet'!K49+K44</f>
        <v>-2942151.6970577901</v>
      </c>
      <c r="M14" s="151">
        <f>'cashflow sheet'!F49+'balance sheet'!G44</f>
        <v>4260</v>
      </c>
      <c r="O14" s="40"/>
    </row>
    <row r="15" spans="1:15" x14ac:dyDescent="0.35">
      <c r="A15" t="s">
        <v>49</v>
      </c>
      <c r="B15">
        <v>500</v>
      </c>
      <c r="C15">
        <v>0</v>
      </c>
      <c r="D15">
        <v>0</v>
      </c>
      <c r="E15">
        <v>13519</v>
      </c>
      <c r="F15">
        <v>13512</v>
      </c>
      <c r="G15" s="82">
        <f>F15</f>
        <v>13512</v>
      </c>
      <c r="H15" s="82">
        <f t="shared" ref="H15:K15" si="6">G15</f>
        <v>13512</v>
      </c>
      <c r="I15" s="82">
        <f t="shared" si="6"/>
        <v>13512</v>
      </c>
      <c r="J15" s="82">
        <f t="shared" si="6"/>
        <v>13512</v>
      </c>
      <c r="K15" s="82">
        <f t="shared" si="6"/>
        <v>13512</v>
      </c>
      <c r="O15" s="40"/>
    </row>
    <row r="16" spans="1:15" x14ac:dyDescent="0.35">
      <c r="A16" s="10" t="s">
        <v>50</v>
      </c>
      <c r="B16" s="10">
        <v>44586</v>
      </c>
      <c r="C16" s="10">
        <v>52933</v>
      </c>
      <c r="D16" s="10">
        <v>38427</v>
      </c>
      <c r="E16" s="10">
        <v>54229</v>
      </c>
      <c r="F16" s="10">
        <v>61318</v>
      </c>
      <c r="G16" s="100">
        <f>SUM(G8:G15)</f>
        <v>102816.46685543453</v>
      </c>
      <c r="H16" s="100">
        <f t="shared" ref="H16:K16" si="7">SUM(H8:H15)</f>
        <v>112129.10158160471</v>
      </c>
      <c r="I16" s="100">
        <f t="shared" si="7"/>
        <v>137540.02108929752</v>
      </c>
      <c r="J16" s="100">
        <f t="shared" si="7"/>
        <v>169390.0981875374</v>
      </c>
      <c r="K16" s="100">
        <f t="shared" si="7"/>
        <v>405764.90837616939</v>
      </c>
      <c r="L16" s="10"/>
      <c r="M16" s="10"/>
      <c r="N16" s="10"/>
      <c r="O16" s="40"/>
    </row>
    <row r="17" spans="1:15" x14ac:dyDescent="0.35">
      <c r="A17" s="10"/>
      <c r="B17" s="10"/>
      <c r="C17" s="10"/>
      <c r="D17" s="10"/>
      <c r="E17" s="10"/>
      <c r="F17" s="10"/>
      <c r="G17" s="87"/>
      <c r="H17" s="10"/>
      <c r="I17" s="10"/>
      <c r="J17" s="10"/>
      <c r="K17" s="10"/>
      <c r="L17" s="10"/>
      <c r="M17" s="10"/>
      <c r="N17" s="10"/>
      <c r="O17" s="40"/>
    </row>
    <row r="18" spans="1:15" x14ac:dyDescent="0.35">
      <c r="A18" s="22" t="s">
        <v>51</v>
      </c>
      <c r="B18" s="22">
        <v>177920</v>
      </c>
      <c r="C18" s="22">
        <v>210877</v>
      </c>
      <c r="D18" s="22">
        <v>235191</v>
      </c>
      <c r="E18" s="22">
        <v>328303</v>
      </c>
      <c r="F18" s="102">
        <f>F16+F6</f>
        <v>348364</v>
      </c>
      <c r="G18" s="102">
        <f>G16+G6</f>
        <v>436576.86578129645</v>
      </c>
      <c r="H18" s="102">
        <f>H16+H6</f>
        <v>495038.43873413827</v>
      </c>
      <c r="I18" s="102">
        <f t="shared" ref="I18:K18" si="8">I16+I6</f>
        <v>563321.98054215452</v>
      </c>
      <c r="J18" s="102">
        <f t="shared" si="8"/>
        <v>641717.5191212073</v>
      </c>
      <c r="K18" s="102">
        <f t="shared" si="8"/>
        <v>1137194.0240820686</v>
      </c>
      <c r="L18" s="17"/>
      <c r="M18" s="17"/>
      <c r="N18" s="17"/>
      <c r="O18" s="40"/>
    </row>
    <row r="19" spans="1:15" x14ac:dyDescent="0.35">
      <c r="A19" s="18"/>
      <c r="B19" s="89"/>
      <c r="C19" s="89"/>
      <c r="D19" s="89"/>
      <c r="E19" s="89"/>
      <c r="F19" s="89"/>
      <c r="G19" s="88"/>
      <c r="H19" s="17"/>
      <c r="I19" s="17"/>
      <c r="J19" s="17"/>
      <c r="K19" s="17"/>
      <c r="L19" s="17"/>
      <c r="M19" s="17"/>
      <c r="N19" s="17"/>
      <c r="O19" s="40"/>
    </row>
    <row r="20" spans="1:15" ht="23.5" x14ac:dyDescent="0.55000000000000004">
      <c r="A20" s="19" t="s">
        <v>79</v>
      </c>
      <c r="B20" s="89"/>
      <c r="C20" s="89"/>
      <c r="D20" s="89"/>
      <c r="E20" s="89"/>
      <c r="F20" s="89"/>
      <c r="G20" s="90"/>
      <c r="H20" s="17"/>
      <c r="I20" s="17"/>
      <c r="J20" s="17"/>
      <c r="K20" s="17"/>
      <c r="L20" s="17"/>
      <c r="M20" s="17"/>
      <c r="N20" s="17"/>
      <c r="O20" s="40"/>
    </row>
    <row r="21" spans="1:15" x14ac:dyDescent="0.35">
      <c r="A21" s="21" t="s">
        <v>52</v>
      </c>
      <c r="B21" s="21">
        <v>74696</v>
      </c>
      <c r="C21" s="21">
        <v>82667</v>
      </c>
      <c r="D21" s="21">
        <v>83471</v>
      </c>
      <c r="E21" s="21">
        <v>165068</v>
      </c>
      <c r="F21" s="21">
        <v>165408</v>
      </c>
      <c r="G21" s="82">
        <f>F21</f>
        <v>165408</v>
      </c>
      <c r="H21">
        <f>G21</f>
        <v>165408</v>
      </c>
      <c r="I21">
        <f t="shared" ref="I21:K21" si="9">H21</f>
        <v>165408</v>
      </c>
      <c r="J21">
        <f t="shared" si="9"/>
        <v>165408</v>
      </c>
      <c r="K21">
        <f t="shared" si="9"/>
        <v>165408</v>
      </c>
      <c r="O21" s="40"/>
    </row>
    <row r="22" spans="1:15" x14ac:dyDescent="0.35">
      <c r="A22" s="21" t="s">
        <v>53</v>
      </c>
      <c r="B22" s="21">
        <v>138310</v>
      </c>
      <c r="C22" s="21">
        <v>137779</v>
      </c>
      <c r="D22" s="21">
        <v>137801</v>
      </c>
      <c r="E22" s="21">
        <v>137819</v>
      </c>
      <c r="F22" s="21">
        <v>138465</v>
      </c>
      <c r="G22" s="83">
        <f>F22</f>
        <v>138465</v>
      </c>
      <c r="H22">
        <f>G22</f>
        <v>138465</v>
      </c>
      <c r="I22">
        <f t="shared" ref="I22:K22" si="10">H22</f>
        <v>138465</v>
      </c>
      <c r="J22">
        <f t="shared" si="10"/>
        <v>138465</v>
      </c>
      <c r="K22">
        <f t="shared" si="10"/>
        <v>138465</v>
      </c>
      <c r="O22" s="40"/>
    </row>
    <row r="23" spans="1:15" x14ac:dyDescent="0.35">
      <c r="A23" s="21" t="s">
        <v>54</v>
      </c>
      <c r="B23" s="21">
        <v>-71487</v>
      </c>
      <c r="C23" s="21">
        <v>-59150</v>
      </c>
      <c r="D23" s="21">
        <v>-50222</v>
      </c>
      <c r="E23" s="21">
        <v>-97143</v>
      </c>
      <c r="F23" s="21">
        <v>-89996</v>
      </c>
      <c r="G23" s="127">
        <f>F23+'profit and loss'!G29</f>
        <v>-22586.282922500002</v>
      </c>
      <c r="H23" s="127">
        <f>G23+'profit and loss'!H29</f>
        <v>50778.544611271253</v>
      </c>
      <c r="I23" s="127">
        <f>H23+'profit and loss'!I29</f>
        <v>113494.48743302783</v>
      </c>
      <c r="J23" s="127">
        <f>I23+'profit and loss'!J29</f>
        <v>185896.04309892224</v>
      </c>
      <c r="K23" s="127">
        <f>J23+'profit and loss'!K29</f>
        <v>555753.22179145738</v>
      </c>
      <c r="O23" s="40"/>
    </row>
    <row r="24" spans="1:15" x14ac:dyDescent="0.35">
      <c r="A24" s="10" t="s">
        <v>55</v>
      </c>
      <c r="B24" s="10">
        <v>141519</v>
      </c>
      <c r="C24" s="10">
        <v>161296</v>
      </c>
      <c r="D24" s="10">
        <v>171050</v>
      </c>
      <c r="E24" s="10">
        <v>205744</v>
      </c>
      <c r="F24" s="128">
        <f t="shared" ref="F24:K24" si="11">SUM(F21:F23)</f>
        <v>213877</v>
      </c>
      <c r="G24" s="128">
        <f>SUM(G21:G23)</f>
        <v>281286.71707750001</v>
      </c>
      <c r="H24" s="128">
        <f>SUM(H21:H23)</f>
        <v>354651.54461127124</v>
      </c>
      <c r="I24" s="128">
        <f t="shared" si="11"/>
        <v>417367.48743302783</v>
      </c>
      <c r="J24" s="128">
        <f t="shared" si="11"/>
        <v>489769.04309892224</v>
      </c>
      <c r="K24" s="128">
        <f t="shared" si="11"/>
        <v>859626.22179145738</v>
      </c>
      <c r="L24" s="10"/>
      <c r="M24" s="10"/>
      <c r="N24" s="10"/>
      <c r="O24" s="40"/>
    </row>
    <row r="25" spans="1:15" x14ac:dyDescent="0.35">
      <c r="A25" s="10"/>
      <c r="B25" s="10"/>
      <c r="C25" s="10"/>
      <c r="D25" s="10"/>
      <c r="E25" s="10"/>
      <c r="F25" s="10"/>
      <c r="G25" s="85"/>
      <c r="H25" s="10"/>
      <c r="I25" s="10"/>
      <c r="J25" s="10"/>
      <c r="K25" s="10"/>
      <c r="L25" s="10"/>
      <c r="M25" s="10"/>
      <c r="N25" s="10"/>
      <c r="O25" s="40"/>
    </row>
    <row r="26" spans="1:15" x14ac:dyDescent="0.35">
      <c r="A26" t="s">
        <v>24</v>
      </c>
      <c r="B26">
        <v>16524</v>
      </c>
      <c r="C26">
        <v>19260</v>
      </c>
      <c r="D26">
        <v>22409</v>
      </c>
      <c r="E26">
        <v>18456</v>
      </c>
      <c r="F26">
        <v>20587</v>
      </c>
      <c r="G26" s="82">
        <f>F26+'profit and loss'!G30</f>
        <v>30838.247297499998</v>
      </c>
      <c r="H26" s="82">
        <f>G26+'profit and loss'!H30</f>
        <v>41995.110470838481</v>
      </c>
      <c r="I26" s="82">
        <f>H26+'profit and loss'!I30</f>
        <v>51532.55799672773</v>
      </c>
      <c r="J26" s="82">
        <f>I26+'profit and loss'!J30</f>
        <v>62542.93282149508</v>
      </c>
      <c r="K26" s="82">
        <f>J26+'profit and loss'!K30</f>
        <v>118788.49455814788</v>
      </c>
      <c r="O26" s="40"/>
    </row>
    <row r="27" spans="1:15" x14ac:dyDescent="0.35">
      <c r="A27" s="22" t="s">
        <v>56</v>
      </c>
      <c r="B27" s="22">
        <v>158043</v>
      </c>
      <c r="C27" s="22">
        <v>180556</v>
      </c>
      <c r="D27" s="22">
        <v>193459</v>
      </c>
      <c r="E27" s="22">
        <v>224200</v>
      </c>
      <c r="F27" s="129">
        <f>SUM(F24:F26)</f>
        <v>234464</v>
      </c>
      <c r="G27" s="129">
        <f>SUM(G24:G26)</f>
        <v>312124.96437499998</v>
      </c>
      <c r="H27" s="129">
        <f>SUM(H24:H26)</f>
        <v>396646.65508210973</v>
      </c>
      <c r="I27" s="129">
        <f t="shared" ref="I27:K27" si="12">SUM(I24:I26)</f>
        <v>468900.04542975558</v>
      </c>
      <c r="J27" s="129">
        <f t="shared" si="12"/>
        <v>552311.97592041735</v>
      </c>
      <c r="K27" s="129">
        <f t="shared" si="12"/>
        <v>978414.71634960524</v>
      </c>
      <c r="L27" s="17"/>
      <c r="M27" s="17"/>
      <c r="N27" s="17"/>
      <c r="O27" s="40"/>
    </row>
    <row r="28" spans="1:15" x14ac:dyDescent="0.35">
      <c r="A28" s="17"/>
      <c r="B28" s="17"/>
      <c r="C28" s="17"/>
      <c r="D28" s="17"/>
      <c r="E28" s="17"/>
      <c r="F28" s="17"/>
      <c r="G28" s="90"/>
      <c r="H28" s="17"/>
      <c r="I28" s="17"/>
      <c r="J28" s="17"/>
      <c r="K28" s="17"/>
      <c r="L28" s="17"/>
      <c r="M28" s="17"/>
      <c r="N28" s="17"/>
      <c r="O28" s="40"/>
    </row>
    <row r="29" spans="1:15" x14ac:dyDescent="0.35">
      <c r="A29" t="s">
        <v>57</v>
      </c>
      <c r="B29">
        <v>4234</v>
      </c>
      <c r="C29">
        <v>8034</v>
      </c>
      <c r="D29">
        <v>5123</v>
      </c>
      <c r="E29">
        <v>46123</v>
      </c>
      <c r="F29">
        <v>48418</v>
      </c>
      <c r="G29" s="83">
        <f>F29</f>
        <v>48418</v>
      </c>
      <c r="H29" s="91">
        <f>G29</f>
        <v>48418</v>
      </c>
      <c r="I29" s="91">
        <f t="shared" ref="I29:K29" si="13">H29</f>
        <v>48418</v>
      </c>
      <c r="J29" s="91">
        <f t="shared" si="13"/>
        <v>48418</v>
      </c>
      <c r="K29" s="91">
        <f t="shared" si="13"/>
        <v>48418</v>
      </c>
      <c r="O29" s="40"/>
    </row>
    <row r="30" spans="1:15" x14ac:dyDescent="0.35">
      <c r="A30" t="s">
        <v>58</v>
      </c>
      <c r="B30">
        <v>3567</v>
      </c>
      <c r="C30">
        <v>3294</v>
      </c>
      <c r="D30">
        <v>2958</v>
      </c>
      <c r="E30">
        <v>10985</v>
      </c>
      <c r="F30">
        <v>9664</v>
      </c>
      <c r="G30" s="82">
        <f>F30</f>
        <v>9664</v>
      </c>
      <c r="H30" s="91">
        <f>G30</f>
        <v>9664</v>
      </c>
      <c r="I30" s="91">
        <f t="shared" ref="I30:K30" si="14">H30</f>
        <v>9664</v>
      </c>
      <c r="J30" s="91">
        <f t="shared" si="14"/>
        <v>9664</v>
      </c>
      <c r="K30" s="91">
        <f t="shared" si="14"/>
        <v>9664</v>
      </c>
      <c r="O30" s="40"/>
    </row>
    <row r="31" spans="1:15" x14ac:dyDescent="0.35">
      <c r="A31" t="s">
        <v>59</v>
      </c>
      <c r="B31">
        <v>0</v>
      </c>
      <c r="C31">
        <v>0</v>
      </c>
      <c r="D31">
        <v>0</v>
      </c>
      <c r="E31">
        <v>0</v>
      </c>
      <c r="F31">
        <v>1500</v>
      </c>
      <c r="G31" s="92">
        <f>G95</f>
        <v>831.30000000000007</v>
      </c>
      <c r="H31" s="92">
        <f t="shared" ref="H31:K31" si="15">H95</f>
        <v>681.30000000000007</v>
      </c>
      <c r="I31" s="92">
        <f t="shared" si="15"/>
        <v>531.30000000000007</v>
      </c>
      <c r="J31" s="92">
        <f t="shared" si="15"/>
        <v>381.3</v>
      </c>
      <c r="K31" s="92">
        <f t="shared" si="15"/>
        <v>231.3</v>
      </c>
      <c r="O31" s="40"/>
    </row>
    <row r="32" spans="1:15" x14ac:dyDescent="0.35">
      <c r="A32" t="s">
        <v>60</v>
      </c>
      <c r="B32">
        <v>0</v>
      </c>
      <c r="C32">
        <v>0</v>
      </c>
      <c r="D32">
        <v>0</v>
      </c>
      <c r="E32">
        <v>6447</v>
      </c>
      <c r="F32">
        <v>8313</v>
      </c>
      <c r="G32" s="167">
        <f>G96</f>
        <v>7481.7</v>
      </c>
      <c r="H32" s="167">
        <f t="shared" ref="H32:K32" si="16">H96</f>
        <v>6131.7</v>
      </c>
      <c r="I32" s="167">
        <f t="shared" si="16"/>
        <v>4781.7</v>
      </c>
      <c r="J32" s="167">
        <f t="shared" si="16"/>
        <v>3431.7</v>
      </c>
      <c r="K32" s="167">
        <f t="shared" si="16"/>
        <v>2081.6999999999998</v>
      </c>
      <c r="L32" s="165"/>
      <c r="O32" s="40"/>
    </row>
    <row r="33" spans="1:15" x14ac:dyDescent="0.35">
      <c r="A33" t="s">
        <v>61</v>
      </c>
      <c r="B33">
        <v>1934</v>
      </c>
      <c r="C33">
        <v>974</v>
      </c>
      <c r="D33">
        <v>1029</v>
      </c>
      <c r="E33">
        <v>374</v>
      </c>
      <c r="F33">
        <v>411</v>
      </c>
      <c r="G33" s="83">
        <f>F33</f>
        <v>411</v>
      </c>
      <c r="H33">
        <f>G33</f>
        <v>411</v>
      </c>
      <c r="I33">
        <f t="shared" ref="I33:K34" si="17">H33</f>
        <v>411</v>
      </c>
      <c r="J33">
        <f t="shared" si="17"/>
        <v>411</v>
      </c>
      <c r="K33">
        <f t="shared" si="17"/>
        <v>411</v>
      </c>
      <c r="O33" s="40"/>
    </row>
    <row r="34" spans="1:15" x14ac:dyDescent="0.35">
      <c r="A34" t="s">
        <v>62</v>
      </c>
      <c r="B34">
        <v>178</v>
      </c>
      <c r="C34">
        <v>331</v>
      </c>
      <c r="D34">
        <v>181</v>
      </c>
      <c r="E34">
        <v>41</v>
      </c>
      <c r="F34">
        <v>199</v>
      </c>
      <c r="G34" s="172">
        <f>G132</f>
        <v>179.1</v>
      </c>
      <c r="H34" s="172">
        <f t="shared" ref="H34:K34" si="18">H132</f>
        <v>161.19</v>
      </c>
      <c r="I34" s="172">
        <f t="shared" si="18"/>
        <v>145.071</v>
      </c>
      <c r="J34" s="172">
        <f t="shared" si="18"/>
        <v>130.56389999999999</v>
      </c>
      <c r="K34" s="172">
        <f t="shared" si="18"/>
        <v>117.50750999999998</v>
      </c>
      <c r="L34" s="165"/>
      <c r="M34" s="166"/>
      <c r="O34" s="40"/>
    </row>
    <row r="35" spans="1:15" x14ac:dyDescent="0.35">
      <c r="A35" s="10" t="s">
        <v>63</v>
      </c>
      <c r="B35" s="10">
        <v>9913</v>
      </c>
      <c r="C35" s="10">
        <v>12633</v>
      </c>
      <c r="D35" s="10">
        <v>9291</v>
      </c>
      <c r="E35" s="10">
        <v>63970</v>
      </c>
      <c r="F35" s="101">
        <f>SUM(F29:F34)</f>
        <v>68505</v>
      </c>
      <c r="G35" s="101">
        <f>SUM(G29:G34)</f>
        <v>66985.100000000006</v>
      </c>
      <c r="H35" s="101">
        <f>SUM(H29:H34)</f>
        <v>65467.19</v>
      </c>
      <c r="I35" s="101">
        <f t="shared" ref="I35:K35" si="19">SUM(I29:I34)</f>
        <v>63951.071000000004</v>
      </c>
      <c r="J35" s="101">
        <f t="shared" si="19"/>
        <v>62436.563900000001</v>
      </c>
      <c r="K35" s="101">
        <f t="shared" si="19"/>
        <v>60923.507510000003</v>
      </c>
      <c r="L35" s="10"/>
      <c r="M35" s="10"/>
      <c r="O35" s="40"/>
    </row>
    <row r="36" spans="1:15" x14ac:dyDescent="0.35">
      <c r="A36" s="10"/>
      <c r="B36" s="10"/>
      <c r="C36" s="10"/>
      <c r="D36" s="10"/>
      <c r="E36" s="10"/>
      <c r="F36" s="10"/>
      <c r="G36" s="87"/>
      <c r="H36" s="10"/>
      <c r="I36" s="10"/>
      <c r="J36" s="10"/>
      <c r="K36" s="10"/>
      <c r="L36" s="10"/>
      <c r="M36" s="10"/>
      <c r="O36" s="40"/>
    </row>
    <row r="37" spans="1:15" x14ac:dyDescent="0.35">
      <c r="A37" t="s">
        <v>64</v>
      </c>
      <c r="B37">
        <v>336</v>
      </c>
      <c r="C37">
        <v>2053</v>
      </c>
      <c r="D37">
        <v>1188</v>
      </c>
      <c r="E37">
        <v>920</v>
      </c>
      <c r="F37">
        <v>634</v>
      </c>
      <c r="G37" s="82">
        <f>F37</f>
        <v>634</v>
      </c>
      <c r="H37">
        <f>G37</f>
        <v>634</v>
      </c>
      <c r="I37">
        <f t="shared" ref="I37:K38" si="20">H37</f>
        <v>634</v>
      </c>
      <c r="J37">
        <f t="shared" si="20"/>
        <v>634</v>
      </c>
      <c r="K37">
        <f t="shared" si="20"/>
        <v>634</v>
      </c>
      <c r="O37" s="40"/>
    </row>
    <row r="38" spans="1:15" x14ac:dyDescent="0.35">
      <c r="A38" t="s">
        <v>65</v>
      </c>
      <c r="B38">
        <v>495</v>
      </c>
      <c r="C38">
        <v>1562</v>
      </c>
      <c r="D38">
        <v>1324</v>
      </c>
      <c r="E38">
        <v>10</v>
      </c>
      <c r="F38">
        <v>2958</v>
      </c>
      <c r="G38" s="83">
        <f>F38</f>
        <v>2958</v>
      </c>
      <c r="H38">
        <f>G38</f>
        <v>2958</v>
      </c>
      <c r="I38">
        <f t="shared" si="20"/>
        <v>2958</v>
      </c>
      <c r="J38">
        <f t="shared" si="20"/>
        <v>2958</v>
      </c>
      <c r="K38">
        <f t="shared" si="20"/>
        <v>2958</v>
      </c>
      <c r="O38" s="40"/>
    </row>
    <row r="39" spans="1:15" x14ac:dyDescent="0.35">
      <c r="A39" t="s">
        <v>66</v>
      </c>
      <c r="B39">
        <v>61</v>
      </c>
      <c r="C39">
        <v>134</v>
      </c>
      <c r="D39">
        <v>132</v>
      </c>
      <c r="E39">
        <v>167</v>
      </c>
      <c r="F39">
        <v>95</v>
      </c>
      <c r="G39" s="164">
        <f>G131-G132</f>
        <v>85.500000000000028</v>
      </c>
      <c r="H39" s="164">
        <f t="shared" ref="H39:K39" si="21">H131-H132</f>
        <v>76.950000000000017</v>
      </c>
      <c r="I39" s="164">
        <f t="shared" si="21"/>
        <v>69.255000000000024</v>
      </c>
      <c r="J39" s="164">
        <f t="shared" si="21"/>
        <v>62.329500000000024</v>
      </c>
      <c r="K39" s="164">
        <f t="shared" si="21"/>
        <v>56.096550000000022</v>
      </c>
      <c r="O39" s="40"/>
    </row>
    <row r="40" spans="1:15" x14ac:dyDescent="0.35">
      <c r="A40" s="39" t="s">
        <v>198</v>
      </c>
      <c r="F40">
        <v>1174</v>
      </c>
      <c r="G40" s="92">
        <f>F40</f>
        <v>1174</v>
      </c>
      <c r="H40" s="92">
        <f t="shared" ref="H40:K40" si="22">G40</f>
        <v>1174</v>
      </c>
      <c r="I40" s="92">
        <f t="shared" si="22"/>
        <v>1174</v>
      </c>
      <c r="J40" s="92">
        <f t="shared" si="22"/>
        <v>1174</v>
      </c>
      <c r="K40" s="92">
        <f t="shared" si="22"/>
        <v>1174</v>
      </c>
      <c r="O40" s="40"/>
    </row>
    <row r="41" spans="1:15" x14ac:dyDescent="0.35">
      <c r="A41" t="s">
        <v>80</v>
      </c>
      <c r="B41">
        <v>0</v>
      </c>
      <c r="C41">
        <v>0</v>
      </c>
      <c r="D41">
        <v>7104</v>
      </c>
      <c r="G41">
        <v>0</v>
      </c>
      <c r="H41">
        <v>0</v>
      </c>
      <c r="I41">
        <v>0</v>
      </c>
      <c r="J41">
        <v>0</v>
      </c>
      <c r="K41">
        <v>0</v>
      </c>
      <c r="O41" s="40"/>
    </row>
    <row r="42" spans="1:15" x14ac:dyDescent="0.35">
      <c r="A42" t="s">
        <v>250</v>
      </c>
      <c r="E42">
        <v>665</v>
      </c>
      <c r="F42">
        <v>855</v>
      </c>
      <c r="G42" s="82">
        <v>9175</v>
      </c>
      <c r="H42" s="43">
        <f>G42-H117</f>
        <v>2175</v>
      </c>
      <c r="I42" s="43">
        <f>H42-I117</f>
        <v>175</v>
      </c>
      <c r="J42" s="43">
        <f>I42-J117</f>
        <v>0</v>
      </c>
      <c r="K42" s="43">
        <f>J42-K117</f>
        <v>0</v>
      </c>
      <c r="L42" s="43">
        <f>H42-G42</f>
        <v>-7000</v>
      </c>
      <c r="M42" s="43">
        <f>I42-H42</f>
        <v>-2000</v>
      </c>
      <c r="N42" s="43">
        <f>J42-I42</f>
        <v>-175</v>
      </c>
      <c r="O42" s="40"/>
    </row>
    <row r="43" spans="1:15" x14ac:dyDescent="0.35">
      <c r="A43" t="s">
        <v>67</v>
      </c>
      <c r="B43">
        <v>8664</v>
      </c>
      <c r="C43">
        <v>9957</v>
      </c>
      <c r="D43">
        <v>17454</v>
      </c>
      <c r="E43">
        <v>20503</v>
      </c>
      <c r="F43">
        <v>26647</v>
      </c>
      <c r="G43" s="91">
        <f>-G80*'profit and loss'!G4/365</f>
        <v>30408.301406296443</v>
      </c>
      <c r="H43" s="91">
        <f>-H80*'profit and loss'!H4/365</f>
        <v>20617.717978362452</v>
      </c>
      <c r="I43" s="91">
        <f>-I80*'profit and loss'!I4/365</f>
        <v>21421.890714102421</v>
      </c>
      <c r="J43" s="91">
        <f>-J80*'profit and loss'!J4/365</f>
        <v>22036.64980078951</v>
      </c>
      <c r="K43" s="91">
        <f>-K80*'profit and loss'!K4/365</f>
        <v>92929.703672463482</v>
      </c>
      <c r="O43" s="40"/>
    </row>
    <row r="44" spans="1:15" x14ac:dyDescent="0.35">
      <c r="A44" t="s">
        <v>68</v>
      </c>
      <c r="B44">
        <v>0</v>
      </c>
      <c r="C44">
        <v>887</v>
      </c>
      <c r="D44">
        <v>5239</v>
      </c>
      <c r="E44">
        <v>17740</v>
      </c>
      <c r="F44">
        <v>12928</v>
      </c>
      <c r="G44" s="82">
        <f>F44</f>
        <v>12928</v>
      </c>
      <c r="H44" s="164">
        <f>0.1*'cashflow sheet'!H49</f>
        <v>5184.9256736661</v>
      </c>
      <c r="I44" s="164">
        <f>0.05*'cashflow sheet'!I49</f>
        <v>3934.7183982965321</v>
      </c>
      <c r="J44" s="164">
        <v>0</v>
      </c>
      <c r="K44" s="164">
        <v>0</v>
      </c>
      <c r="O44" s="40"/>
    </row>
    <row r="45" spans="1:15" x14ac:dyDescent="0.35">
      <c r="A45" t="s">
        <v>69</v>
      </c>
      <c r="B45">
        <v>0</v>
      </c>
      <c r="C45">
        <v>0</v>
      </c>
      <c r="D45">
        <v>0</v>
      </c>
      <c r="E45">
        <v>128</v>
      </c>
      <c r="F45">
        <v>104</v>
      </c>
      <c r="G45" s="83">
        <f>F45</f>
        <v>104</v>
      </c>
      <c r="H45" s="83">
        <f t="shared" ref="H45:K45" si="23">G45</f>
        <v>104</v>
      </c>
      <c r="I45" s="83">
        <f t="shared" si="23"/>
        <v>104</v>
      </c>
      <c r="J45" s="83">
        <f t="shared" si="23"/>
        <v>104</v>
      </c>
      <c r="K45" s="83">
        <f t="shared" si="23"/>
        <v>104</v>
      </c>
      <c r="O45" s="40"/>
    </row>
    <row r="46" spans="1:15" x14ac:dyDescent="0.35">
      <c r="A46" s="10" t="s">
        <v>70</v>
      </c>
      <c r="B46" s="10">
        <v>9964</v>
      </c>
      <c r="C46" s="10">
        <v>17688</v>
      </c>
      <c r="D46" s="10">
        <v>32441</v>
      </c>
      <c r="E46" s="10">
        <v>40133</v>
      </c>
      <c r="F46" s="130">
        <f>SUM(F37:F45)</f>
        <v>45395</v>
      </c>
      <c r="G46" s="130">
        <f>SUM(G37:G45)</f>
        <v>57466.801406296443</v>
      </c>
      <c r="H46" s="130">
        <f>SUM(H37:H45)</f>
        <v>32924.593652028554</v>
      </c>
      <c r="I46" s="130">
        <f>SUM(I37:I45)</f>
        <v>30470.864112398955</v>
      </c>
      <c r="J46" s="130">
        <f>SUM(J37:J45)</f>
        <v>26968.97930078951</v>
      </c>
      <c r="K46" s="130">
        <f t="shared" ref="K46" si="24">SUM(K37:K45)</f>
        <v>97855.800222463484</v>
      </c>
      <c r="L46" s="10"/>
      <c r="O46" s="40"/>
    </row>
    <row r="47" spans="1:15" x14ac:dyDescent="0.35">
      <c r="A47" t="s">
        <v>71</v>
      </c>
      <c r="B47">
        <v>19877</v>
      </c>
      <c r="C47">
        <v>30321</v>
      </c>
      <c r="D47">
        <v>41732</v>
      </c>
      <c r="E47">
        <v>64111</v>
      </c>
      <c r="F47" s="40">
        <f>F46+F35</f>
        <v>113900</v>
      </c>
      <c r="G47" s="40">
        <f>G46+G35</f>
        <v>124451.90140629644</v>
      </c>
      <c r="H47" s="40">
        <f>H46+H35</f>
        <v>98391.783652028564</v>
      </c>
      <c r="I47" s="40">
        <f t="shared" ref="I47:K47" si="25">I46+I35</f>
        <v>94421.935112398962</v>
      </c>
      <c r="J47" s="40">
        <f t="shared" si="25"/>
        <v>89405.543200789514</v>
      </c>
      <c r="K47" s="40">
        <f t="shared" si="25"/>
        <v>158779.30773246349</v>
      </c>
      <c r="O47" s="40"/>
    </row>
    <row r="48" spans="1:15" x14ac:dyDescent="0.35">
      <c r="A48" t="s">
        <v>72</v>
      </c>
      <c r="B48">
        <v>177920</v>
      </c>
      <c r="C48">
        <v>210877</v>
      </c>
      <c r="D48">
        <v>235191</v>
      </c>
      <c r="E48">
        <v>328303</v>
      </c>
      <c r="F48" s="40">
        <f>F47+F27</f>
        <v>348364</v>
      </c>
      <c r="G48" s="40">
        <f>G47+G27</f>
        <v>436576.86578129639</v>
      </c>
      <c r="H48" s="40">
        <f>H47+H27</f>
        <v>495038.43873413827</v>
      </c>
      <c r="I48" s="40">
        <f t="shared" ref="I48:K48" si="26">I47+I27</f>
        <v>563321.98054215452</v>
      </c>
      <c r="J48" s="40">
        <f t="shared" si="26"/>
        <v>641717.51912120683</v>
      </c>
      <c r="K48" s="40">
        <f t="shared" si="26"/>
        <v>1137194.0240820688</v>
      </c>
      <c r="O48" s="40"/>
    </row>
    <row r="49" spans="1:15" x14ac:dyDescent="0.35">
      <c r="A49" t="s">
        <v>598</v>
      </c>
      <c r="B49" s="151">
        <f>'profit and loss'!B31/'balance sheet'!B24</f>
        <v>0.17724828468262213</v>
      </c>
      <c r="C49" s="151">
        <f>'profit and loss'!C31/'balance sheet'!C24</f>
        <v>0.14018326554905267</v>
      </c>
      <c r="D49" s="151">
        <f>'profit and loss'!D31/'balance sheet'!D24</f>
        <v>0.13410114001753873</v>
      </c>
      <c r="E49" s="151">
        <f>'profit and loss'!E31/'balance sheet'!E24</f>
        <v>-2.6547554242165022E-2</v>
      </c>
      <c r="F49" s="151">
        <f>'profit and loss'!F31/'balance sheet'!F24</f>
        <v>0.10724855875105785</v>
      </c>
      <c r="G49" s="151">
        <f>'profit and loss'!G31/'balance sheet'!G24</f>
        <v>0.2760918296529547</v>
      </c>
      <c r="H49" s="151">
        <f>'profit and loss'!H31/'balance sheet'!H24</f>
        <v>0.23832319918344869</v>
      </c>
      <c r="I49" s="151">
        <f>'profit and loss'!I31/'balance sheet'!I24</f>
        <v>0.17311695933009119</v>
      </c>
      <c r="J49" s="151">
        <f>'profit and loss'!J31/'balance sheet'!J24</f>
        <v>0.17030870298148762</v>
      </c>
      <c r="K49" s="151">
        <f>'profit and loss'!K31/'balance sheet'!K24</f>
        <v>0.49568373977842561</v>
      </c>
      <c r="O49" s="40"/>
    </row>
    <row r="50" spans="1:15" x14ac:dyDescent="0.35">
      <c r="A50" t="s">
        <v>597</v>
      </c>
      <c r="B50" s="151">
        <f>'profit and loss'!B27/'balance sheet'!B18</f>
        <v>0.14098471223021583</v>
      </c>
      <c r="C50" s="151">
        <f>'profit and loss'!C27/'balance sheet'!C18</f>
        <v>0.10722364221797541</v>
      </c>
      <c r="D50" s="151">
        <f>'profit and loss'!D27/'balance sheet'!D18</f>
        <v>9.5258747145936712E-2</v>
      </c>
      <c r="E50" s="151">
        <f>'profit and loss'!E27/'balance sheet'!E18</f>
        <v>-1.6637070023728079E-2</v>
      </c>
      <c r="F50" s="151">
        <f>'profit and loss'!F27/'balance sheet'!F18</f>
        <v>6.584492082993651E-2</v>
      </c>
      <c r="G50" s="151">
        <f>'profit and loss'!G27/'balance sheet'!G18</f>
        <v>0.17788611917403868</v>
      </c>
      <c r="H50" s="151">
        <f>'profit and loss'!H27/'balance sheet'!H18</f>
        <v>0.17073763185590188</v>
      </c>
      <c r="I50" s="151">
        <f>'profit and loss'!I27/'balance sheet'!I18</f>
        <v>0.12826304110858133</v>
      </c>
      <c r="J50" s="151">
        <f>'profit and loss'!J27/'balance sheet'!J18</f>
        <v>0.12998231777260699</v>
      </c>
      <c r="K50" s="151">
        <f>'profit and loss'!K27/'balance sheet'!K18</f>
        <v>0.37469660533358301</v>
      </c>
      <c r="O50" s="40"/>
    </row>
    <row r="51" spans="1:15" x14ac:dyDescent="0.35">
      <c r="A51" t="s">
        <v>596</v>
      </c>
      <c r="B51" s="151"/>
      <c r="C51" s="151"/>
      <c r="D51" s="151"/>
      <c r="E51" s="151"/>
      <c r="F51" s="151"/>
      <c r="G51" s="151"/>
      <c r="H51" s="151"/>
      <c r="I51" s="151"/>
      <c r="J51" s="151"/>
      <c r="K51" s="151"/>
      <c r="O51" s="40"/>
    </row>
    <row r="52" spans="1:15" x14ac:dyDescent="0.35">
      <c r="B52" s="151"/>
      <c r="C52" s="151"/>
      <c r="D52" s="151"/>
      <c r="E52" s="151"/>
      <c r="F52" s="151"/>
      <c r="G52" s="151"/>
      <c r="H52" s="151"/>
      <c r="I52" s="151"/>
      <c r="J52" s="151"/>
      <c r="K52" s="151"/>
      <c r="O52" s="40"/>
    </row>
    <row r="53" spans="1:15" x14ac:dyDescent="0.35">
      <c r="A53" s="160" t="s">
        <v>659</v>
      </c>
      <c r="B53" s="160"/>
      <c r="C53" s="160"/>
      <c r="D53" s="160"/>
      <c r="E53" s="160"/>
      <c r="F53" s="163">
        <f>F18-F48</f>
        <v>0</v>
      </c>
      <c r="G53" s="163">
        <f>G18-G48</f>
        <v>0</v>
      </c>
      <c r="H53" s="163">
        <f>H18-H48</f>
        <v>0</v>
      </c>
      <c r="I53" s="161">
        <f t="shared" ref="I53:K53" si="27">I18-I48</f>
        <v>0</v>
      </c>
      <c r="J53" s="161">
        <f t="shared" si="27"/>
        <v>0</v>
      </c>
      <c r="K53" s="161">
        <f t="shared" si="27"/>
        <v>0</v>
      </c>
      <c r="O53" s="40"/>
    </row>
    <row r="54" spans="1:15" x14ac:dyDescent="0.35">
      <c r="D54">
        <f>G42-F42</f>
        <v>8320</v>
      </c>
      <c r="G54" s="86"/>
      <c r="H54" s="40">
        <f>H53-G53</f>
        <v>0</v>
      </c>
      <c r="I54" s="40">
        <f t="shared" ref="I54:K54" si="28">I53-H53</f>
        <v>0</v>
      </c>
      <c r="J54" s="40">
        <f t="shared" si="28"/>
        <v>0</v>
      </c>
      <c r="K54" s="40">
        <f t="shared" si="28"/>
        <v>0</v>
      </c>
      <c r="O54" s="40"/>
    </row>
    <row r="55" spans="1:15" x14ac:dyDescent="0.35">
      <c r="G55" s="86"/>
      <c r="O55" s="40"/>
    </row>
    <row r="56" spans="1:15" x14ac:dyDescent="0.35">
      <c r="O56" s="40"/>
    </row>
    <row r="57" spans="1:15" x14ac:dyDescent="0.35">
      <c r="B57" s="43"/>
      <c r="C57" s="43"/>
      <c r="D57" s="43"/>
      <c r="E57" s="43"/>
      <c r="F57" s="43"/>
      <c r="G57" s="43"/>
      <c r="H57" s="43"/>
      <c r="I57" s="43"/>
      <c r="J57" s="43"/>
      <c r="K57" s="43"/>
      <c r="O57" s="40"/>
    </row>
    <row r="58" spans="1:15" ht="18.5" x14ac:dyDescent="0.45">
      <c r="A58" s="97" t="s">
        <v>81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O58" s="40"/>
    </row>
    <row r="59" spans="1:15" ht="21" x14ac:dyDescent="0.5">
      <c r="A59" s="94" t="s">
        <v>452</v>
      </c>
      <c r="B59" s="45" t="s">
        <v>84</v>
      </c>
      <c r="C59" s="45" t="s">
        <v>84</v>
      </c>
      <c r="D59" s="45" t="s">
        <v>84</v>
      </c>
      <c r="E59" s="45" t="s">
        <v>84</v>
      </c>
      <c r="F59" s="45" t="s">
        <v>84</v>
      </c>
      <c r="G59" s="45"/>
      <c r="H59" s="45"/>
      <c r="I59" s="45"/>
      <c r="J59" s="45"/>
      <c r="K59" s="45"/>
      <c r="O59" s="40"/>
    </row>
    <row r="60" spans="1:15" x14ac:dyDescent="0.35">
      <c r="A60" s="16" t="s">
        <v>82</v>
      </c>
      <c r="B60" s="70">
        <f t="shared" ref="B60:E60" si="29">B3</f>
        <v>126479</v>
      </c>
      <c r="C60" s="70">
        <f t="shared" si="29"/>
        <v>149102</v>
      </c>
      <c r="D60" s="70">
        <f t="shared" si="29"/>
        <v>178983</v>
      </c>
      <c r="E60" s="70">
        <f t="shared" si="29"/>
        <v>179649</v>
      </c>
      <c r="F60" s="70">
        <f>E3</f>
        <v>179649</v>
      </c>
      <c r="G60" s="70">
        <f>F3</f>
        <v>189456</v>
      </c>
      <c r="H60" s="70">
        <f>G63</f>
        <v>230007.57393389056</v>
      </c>
      <c r="I60" s="70">
        <f>H63</f>
        <v>272775.33775556606</v>
      </c>
      <c r="J60" s="70">
        <f>I63</f>
        <v>309623.68818048644</v>
      </c>
      <c r="K60" s="70">
        <f>J63</f>
        <v>349543.20958347374</v>
      </c>
      <c r="O60" s="40"/>
    </row>
    <row r="61" spans="1:15" x14ac:dyDescent="0.35">
      <c r="A61" s="16" t="s">
        <v>589</v>
      </c>
      <c r="B61" s="16"/>
      <c r="C61" s="16"/>
      <c r="D61" s="16"/>
      <c r="E61" s="16"/>
      <c r="F61" s="16"/>
      <c r="G61" s="70">
        <f>-G68*G66</f>
        <v>55389.073933890548</v>
      </c>
      <c r="H61" s="70">
        <f>-H68*H66</f>
        <v>57351.513528914547</v>
      </c>
      <c r="I61" s="70">
        <f t="shared" ref="I61:K61" si="30">-I68*I66</f>
        <v>54143.812413829299</v>
      </c>
      <c r="J61" s="70">
        <f t="shared" si="30"/>
        <v>59551.372192189076</v>
      </c>
      <c r="K61" s="70">
        <f t="shared" si="30"/>
        <v>253103.30820647499</v>
      </c>
      <c r="O61" s="40"/>
    </row>
    <row r="62" spans="1:15" x14ac:dyDescent="0.35">
      <c r="A62" s="16" t="s">
        <v>83</v>
      </c>
      <c r="B62" s="70">
        <f>'profit and loss'!B5</f>
        <v>-4628</v>
      </c>
      <c r="C62" s="70">
        <f>'profit and loss'!C5</f>
        <v>-8046</v>
      </c>
      <c r="D62" s="70">
        <f>'profit and loss'!D5</f>
        <v>-10141</v>
      </c>
      <c r="E62" s="70">
        <f>'profit and loss'!E5</f>
        <v>-14486</v>
      </c>
      <c r="F62" s="70">
        <f>'profit and loss'!F5</f>
        <v>-16021</v>
      </c>
      <c r="G62" s="70">
        <f>'profit and loss'!G5</f>
        <v>-14837.5</v>
      </c>
      <c r="H62" s="70">
        <f>-H74*H60</f>
        <v>-14583.749707239038</v>
      </c>
      <c r="I62" s="70">
        <f t="shared" ref="I62:K62" si="31">-I74*I60</f>
        <v>-17295.461988908937</v>
      </c>
      <c r="J62" s="70">
        <f t="shared" si="31"/>
        <v>-19631.850789201799</v>
      </c>
      <c r="K62" s="70">
        <f t="shared" si="31"/>
        <v>-22162.968780739197</v>
      </c>
      <c r="O62" s="40"/>
    </row>
    <row r="63" spans="1:15" x14ac:dyDescent="0.35">
      <c r="A63" s="16" t="s">
        <v>85</v>
      </c>
      <c r="B63" s="70"/>
      <c r="C63" s="70"/>
      <c r="D63" s="70"/>
      <c r="E63" s="70"/>
      <c r="F63" s="70">
        <f>G60</f>
        <v>189456</v>
      </c>
      <c r="G63" s="70">
        <f t="shared" ref="G63:K63" si="32">SUM(G60:G62)</f>
        <v>230007.57393389056</v>
      </c>
      <c r="H63" s="70">
        <f>SUM(H60:H62)</f>
        <v>272775.33775556606</v>
      </c>
      <c r="I63" s="70">
        <f t="shared" si="32"/>
        <v>309623.68818048644</v>
      </c>
      <c r="J63" s="70">
        <f t="shared" si="32"/>
        <v>349543.20958347374</v>
      </c>
      <c r="K63" s="70">
        <f t="shared" si="32"/>
        <v>580483.5490092095</v>
      </c>
      <c r="O63" s="40"/>
    </row>
    <row r="64" spans="1:15" x14ac:dyDescent="0.35">
      <c r="A64" s="16"/>
      <c r="B64" s="70"/>
      <c r="C64" s="70"/>
      <c r="D64" s="70"/>
      <c r="E64" s="70"/>
      <c r="F64" s="70"/>
      <c r="G64" s="70"/>
      <c r="H64" s="70"/>
      <c r="I64" s="70"/>
      <c r="J64" s="70"/>
      <c r="K64" s="70"/>
      <c r="O64" s="40"/>
    </row>
    <row r="65" spans="1:15" x14ac:dyDescent="0.35">
      <c r="A65" s="54" t="s">
        <v>559</v>
      </c>
      <c r="B65" s="1"/>
      <c r="C65" s="1"/>
      <c r="D65" s="1"/>
      <c r="E65" s="1"/>
      <c r="F65" s="1"/>
      <c r="G65" s="1"/>
      <c r="H65" s="1"/>
      <c r="I65" s="1"/>
      <c r="J65" s="1"/>
      <c r="K65" s="1"/>
      <c r="O65" s="40"/>
    </row>
    <row r="66" spans="1:15" x14ac:dyDescent="0.35">
      <c r="A66" s="16" t="s">
        <v>87</v>
      </c>
      <c r="B66" s="70">
        <f>'cashflow sheet'!B31</f>
        <v>-27998</v>
      </c>
      <c r="C66" s="70">
        <f>'cashflow sheet'!C31</f>
        <v>-35923</v>
      </c>
      <c r="D66" s="70">
        <f>'cashflow sheet'!D31</f>
        <v>-44329</v>
      </c>
      <c r="E66" s="70">
        <f>'cashflow sheet'!E31</f>
        <v>-31161</v>
      </c>
      <c r="F66" s="70">
        <f>'cashflow sheet'!F31</f>
        <v>-32055</v>
      </c>
      <c r="G66" s="70">
        <f>G67*G77</f>
        <v>-61551.898925861926</v>
      </c>
      <c r="H66" s="70">
        <f t="shared" ref="H66:K66" si="33">H67*H77</f>
        <v>-63732.687933910653</v>
      </c>
      <c r="I66" s="70">
        <f t="shared" si="33"/>
        <v>-60168.084289232356</v>
      </c>
      <c r="J66" s="70">
        <f t="shared" si="33"/>
        <v>-66177.312270014707</v>
      </c>
      <c r="K66" s="70">
        <f t="shared" si="33"/>
        <v>-281264.66355296859</v>
      </c>
      <c r="O66" s="40"/>
    </row>
    <row r="67" spans="1:15" x14ac:dyDescent="0.35">
      <c r="A67" s="16" t="s">
        <v>265</v>
      </c>
      <c r="B67" s="81">
        <f>B66/'profit and loss'!B2</f>
        <v>-0.27997440051198974</v>
      </c>
      <c r="C67" s="81">
        <f>C66/'profit and loss'!C2</f>
        <v>-0.29607925557780912</v>
      </c>
      <c r="D67" s="81">
        <f>D66/'profit and loss'!D2</f>
        <v>-0.31199588969749864</v>
      </c>
      <c r="E67" s="81">
        <f>E66/'profit and loss'!E2</f>
        <v>-0.21297346802083192</v>
      </c>
      <c r="F67" s="81">
        <f>F66/'profit and loss'!F2</f>
        <v>-0.17514670688129036</v>
      </c>
      <c r="G67" s="81">
        <f>AVERAGE(B67:F67)</f>
        <v>-0.25523394413788397</v>
      </c>
      <c r="H67" s="81">
        <f>AVERAGE(B67:F67)</f>
        <v>-0.25523394413788397</v>
      </c>
      <c r="I67" s="81">
        <f>H67</f>
        <v>-0.25523394413788397</v>
      </c>
      <c r="J67" s="81">
        <f t="shared" ref="J67:K69" si="34">I67</f>
        <v>-0.25523394413788397</v>
      </c>
      <c r="K67" s="81">
        <f t="shared" si="34"/>
        <v>-0.25523394413788397</v>
      </c>
      <c r="O67" s="40"/>
    </row>
    <row r="68" spans="1:15" x14ac:dyDescent="0.35">
      <c r="A68" s="16" t="s">
        <v>560</v>
      </c>
      <c r="B68" s="81">
        <f>'cashflow sheet'!B22/'balance sheet'!B66</f>
        <v>0.89581398671333667</v>
      </c>
      <c r="C68" s="81">
        <f>'cashflow sheet'!C22/'balance sheet'!C66</f>
        <v>0.89391197839824066</v>
      </c>
      <c r="D68" s="81">
        <f>'cashflow sheet'!D22/'balance sheet'!D66</f>
        <v>0.93606893906923239</v>
      </c>
      <c r="E68" s="81">
        <f>'cashflow sheet'!E22/'balance sheet'!E66</f>
        <v>0.91640191264721926</v>
      </c>
      <c r="F68" s="81">
        <f>'cashflow sheet'!F22/'balance sheet'!F66</f>
        <v>0.85718296677585404</v>
      </c>
      <c r="G68" s="81">
        <f>AVERAGE(B68:F68)</f>
        <v>0.89987595672077669</v>
      </c>
      <c r="H68" s="81">
        <f>G68</f>
        <v>0.89987595672077669</v>
      </c>
      <c r="I68" s="81">
        <f t="shared" ref="I68" si="35">H68</f>
        <v>0.89987595672077669</v>
      </c>
      <c r="J68" s="81">
        <f t="shared" si="34"/>
        <v>0.89987595672077669</v>
      </c>
      <c r="K68" s="81">
        <f t="shared" si="34"/>
        <v>0.89987595672077669</v>
      </c>
      <c r="O68" s="40"/>
    </row>
    <row r="69" spans="1:15" x14ac:dyDescent="0.35">
      <c r="A69" s="16" t="s">
        <v>558</v>
      </c>
      <c r="B69" s="81">
        <f>'cashflow sheet'!B23/'balance sheet'!B66</f>
        <v>9.8542753053789553E-2</v>
      </c>
      <c r="C69" s="81">
        <f>'cashflow sheet'!C23/'balance sheet'!C66</f>
        <v>0.1591459510619937</v>
      </c>
      <c r="D69" s="81">
        <f>'cashflow sheet'!D23/'balance sheet'!D66</f>
        <v>5.8562115093956549E-2</v>
      </c>
      <c r="E69" s="81">
        <f>'cashflow sheet'!E23/'balance sheet'!E66</f>
        <v>5.8951894996951318E-2</v>
      </c>
      <c r="F69" s="81">
        <f>'cashflow sheet'!F23/'balance sheet'!F66</f>
        <v>0.11963812197785056</v>
      </c>
      <c r="G69" s="81">
        <f>AVERAGE(B69:F69)</f>
        <v>9.8968167236908336E-2</v>
      </c>
      <c r="H69" s="81">
        <f>G69</f>
        <v>9.8968167236908336E-2</v>
      </c>
      <c r="I69" s="81">
        <f t="shared" ref="I69" si="36">H69</f>
        <v>9.8968167236908336E-2</v>
      </c>
      <c r="J69" s="81">
        <f t="shared" si="34"/>
        <v>9.8968167236908336E-2</v>
      </c>
      <c r="K69" s="81">
        <f t="shared" si="34"/>
        <v>9.8968167236908336E-2</v>
      </c>
      <c r="O69" s="40"/>
    </row>
    <row r="70" spans="1:15" x14ac:dyDescent="0.35">
      <c r="A70" s="16" t="s">
        <v>558</v>
      </c>
      <c r="B70" s="81"/>
      <c r="C70" s="81"/>
      <c r="D70" s="81"/>
      <c r="E70" s="81"/>
      <c r="F70" s="81"/>
      <c r="G70" s="71">
        <f>-G66-G61</f>
        <v>6162.824991971378</v>
      </c>
      <c r="H70" s="71">
        <f t="shared" ref="H70:K70" si="37">-H66-H61</f>
        <v>6381.1744049961053</v>
      </c>
      <c r="I70" s="71">
        <f t="shared" si="37"/>
        <v>6024.2718754030575</v>
      </c>
      <c r="J70" s="71">
        <f t="shared" si="37"/>
        <v>6625.9400778256313</v>
      </c>
      <c r="K70" s="71">
        <f t="shared" si="37"/>
        <v>28161.355346493598</v>
      </c>
      <c r="O70" s="40"/>
    </row>
    <row r="71" spans="1:15" x14ac:dyDescent="0.35">
      <c r="A71" s="16"/>
      <c r="B71" s="81"/>
      <c r="C71" s="81"/>
      <c r="D71" s="81"/>
      <c r="E71" s="81"/>
      <c r="F71" s="81"/>
      <c r="G71" s="71"/>
      <c r="H71" s="71"/>
      <c r="I71" s="71"/>
      <c r="J71" s="71"/>
      <c r="K71" s="71"/>
      <c r="O71" s="40"/>
    </row>
    <row r="72" spans="1:15" x14ac:dyDescent="0.35">
      <c r="A72" s="16"/>
      <c r="B72" s="81"/>
      <c r="C72" s="81"/>
      <c r="D72" s="81"/>
      <c r="E72" s="81"/>
      <c r="F72" s="81"/>
      <c r="G72" s="71"/>
      <c r="H72" s="71"/>
      <c r="I72" s="71"/>
      <c r="J72" s="71"/>
      <c r="K72" s="71"/>
      <c r="O72" s="40"/>
    </row>
    <row r="73" spans="1:15" x14ac:dyDescent="0.35">
      <c r="A73" s="54" t="s">
        <v>561</v>
      </c>
      <c r="B73" s="81"/>
      <c r="C73" s="81"/>
      <c r="D73" s="81"/>
      <c r="E73" s="81"/>
      <c r="F73" s="81"/>
      <c r="G73" s="81"/>
      <c r="H73" s="81"/>
      <c r="I73" s="81"/>
      <c r="J73" s="81"/>
      <c r="K73" s="81"/>
      <c r="O73" s="40"/>
    </row>
    <row r="74" spans="1:15" x14ac:dyDescent="0.35">
      <c r="A74" s="16" t="s">
        <v>86</v>
      </c>
      <c r="B74" s="81">
        <f>-B62/B60</f>
        <v>3.6591054641481983E-2</v>
      </c>
      <c r="C74" s="81">
        <f>-C62/C60</f>
        <v>5.3963058845622462E-2</v>
      </c>
      <c r="D74" s="81">
        <f>-D62/D60</f>
        <v>5.6659012308431525E-2</v>
      </c>
      <c r="E74" s="81">
        <f>-E62/E60</f>
        <v>8.0635016059093012E-2</v>
      </c>
      <c r="F74" s="81">
        <f>-F62/F60</f>
        <v>8.9179455493768406E-2</v>
      </c>
      <c r="G74" s="81">
        <f>AVERAGE(B74:F74)</f>
        <v>6.3405519469679469E-2</v>
      </c>
      <c r="H74" s="81">
        <f>G74</f>
        <v>6.3405519469679469E-2</v>
      </c>
      <c r="I74" s="81">
        <f>H74</f>
        <v>6.3405519469679469E-2</v>
      </c>
      <c r="J74" s="81">
        <f>I74</f>
        <v>6.3405519469679469E-2</v>
      </c>
      <c r="K74" s="81">
        <f>J74</f>
        <v>6.3405519469679469E-2</v>
      </c>
      <c r="O74" s="40"/>
    </row>
    <row r="75" spans="1:15" x14ac:dyDescent="0.35">
      <c r="A75" s="16"/>
      <c r="B75" s="81"/>
      <c r="C75" s="81"/>
      <c r="D75" s="81"/>
      <c r="E75" s="81"/>
      <c r="F75" s="81"/>
      <c r="G75" s="81"/>
      <c r="H75" s="81"/>
      <c r="I75" s="81"/>
      <c r="J75" s="81"/>
      <c r="K75" s="81"/>
      <c r="O75" s="40"/>
    </row>
    <row r="76" spans="1:15" x14ac:dyDescent="0.35">
      <c r="A76" s="16"/>
      <c r="B76" s="81"/>
      <c r="C76" s="81"/>
      <c r="D76" s="81"/>
      <c r="E76" s="81"/>
      <c r="F76" s="81"/>
      <c r="G76" s="81"/>
      <c r="H76" s="81"/>
      <c r="I76" s="81"/>
      <c r="J76" s="81"/>
      <c r="K76" s="81"/>
      <c r="O76" s="40"/>
    </row>
    <row r="77" spans="1:15" x14ac:dyDescent="0.35">
      <c r="A77" s="16" t="s">
        <v>248</v>
      </c>
      <c r="B77" s="70">
        <f>'profit and loss'!B2</f>
        <v>100002</v>
      </c>
      <c r="C77" s="70">
        <f>'profit and loss'!C2</f>
        <v>121329</v>
      </c>
      <c r="D77" s="70">
        <f>'profit and loss'!D2</f>
        <v>142082</v>
      </c>
      <c r="E77" s="70">
        <f>'profit and loss'!E2</f>
        <v>146314</v>
      </c>
      <c r="F77" s="70">
        <f>'profit and loss'!F2</f>
        <v>183018</v>
      </c>
      <c r="G77" s="70">
        <f>'profit and loss'!G2</f>
        <v>241158.75</v>
      </c>
      <c r="H77" s="70">
        <f>'profit and loss'!H2</f>
        <v>249703.02500000002</v>
      </c>
      <c r="I77" s="70">
        <f>'profit and loss'!I2</f>
        <v>235737</v>
      </c>
      <c r="J77" s="70">
        <f>'profit and loss'!J2</f>
        <v>259281.00000000003</v>
      </c>
      <c r="K77" s="70">
        <f>'profit and loss'!K2</f>
        <v>1101987.6862500003</v>
      </c>
      <c r="O77" s="40"/>
    </row>
    <row r="78" spans="1:15" x14ac:dyDescent="0.35">
      <c r="A78" s="16" t="s">
        <v>266</v>
      </c>
      <c r="B78" s="71">
        <f>-B43/'profit and loss'!B4*365</f>
        <v>72.347006474342848</v>
      </c>
      <c r="C78" s="71">
        <f>-C43/'profit and loss'!C4*365</f>
        <v>68.409159357000334</v>
      </c>
      <c r="D78" s="71">
        <f>-D43/'profit and loss'!D4*365</f>
        <v>101.12559128861234</v>
      </c>
      <c r="E78" s="71">
        <f>-E8/'profit and loss'!E4*365</f>
        <v>89.602824360105913</v>
      </c>
      <c r="F78" s="71">
        <f>-F8/'profit and loss'!F4*365</f>
        <v>107.44228673337956</v>
      </c>
      <c r="G78" s="71">
        <f t="shared" ref="G78:K78" si="38">F78</f>
        <v>107.44228673337956</v>
      </c>
      <c r="H78" s="71">
        <f t="shared" si="38"/>
        <v>107.44228673337956</v>
      </c>
      <c r="I78" s="71">
        <f t="shared" si="38"/>
        <v>107.44228673337956</v>
      </c>
      <c r="J78" s="71">
        <f t="shared" si="38"/>
        <v>107.44228673337956</v>
      </c>
      <c r="K78" s="71">
        <f t="shared" si="38"/>
        <v>107.44228673337956</v>
      </c>
      <c r="O78" s="40"/>
    </row>
    <row r="79" spans="1:15" x14ac:dyDescent="0.35">
      <c r="A79" s="16" t="s">
        <v>267</v>
      </c>
      <c r="B79" s="71"/>
      <c r="C79" s="71">
        <f>C10/C77*365</f>
        <v>23.880275943921077</v>
      </c>
      <c r="D79" s="71">
        <f>D10/D77*365</f>
        <v>23.595705296941201</v>
      </c>
      <c r="E79" s="71">
        <f>E10/E77*365</f>
        <v>24.826605793020491</v>
      </c>
      <c r="F79" s="71">
        <f>F10/F77*365</f>
        <v>25.278251319542342</v>
      </c>
      <c r="G79" s="71">
        <f t="shared" ref="G79:K79" si="39">F79</f>
        <v>25.278251319542342</v>
      </c>
      <c r="H79" s="71">
        <f t="shared" si="39"/>
        <v>25.278251319542342</v>
      </c>
      <c r="I79" s="71">
        <f t="shared" si="39"/>
        <v>25.278251319542342</v>
      </c>
      <c r="J79" s="71">
        <f t="shared" si="39"/>
        <v>25.278251319542342</v>
      </c>
      <c r="K79" s="71">
        <f t="shared" si="39"/>
        <v>25.278251319542342</v>
      </c>
      <c r="O79" s="40"/>
    </row>
    <row r="80" spans="1:15" x14ac:dyDescent="0.35">
      <c r="A80" s="16" t="s">
        <v>273</v>
      </c>
      <c r="B80" s="70">
        <f>-B43/'profit and loss'!B4*365</f>
        <v>72.347006474342848</v>
      </c>
      <c r="C80" s="70">
        <f>-C43/'profit and loss'!C4*365</f>
        <v>68.409159357000334</v>
      </c>
      <c r="D80" s="70">
        <f>-D43/'profit and loss'!D4*365</f>
        <v>101.12559128861234</v>
      </c>
      <c r="E80" s="70">
        <f>-E43/'profit and loss'!E4*365</f>
        <v>90.48102383053839</v>
      </c>
      <c r="F80" s="70">
        <f>-F43/'profit and loss'!F4*365</f>
        <v>120.45669028039235</v>
      </c>
      <c r="G80" s="70">
        <f t="shared" ref="G80:K80" si="40">F80</f>
        <v>120.45669028039235</v>
      </c>
      <c r="H80" s="70">
        <f t="shared" si="40"/>
        <v>120.45669028039235</v>
      </c>
      <c r="I80" s="70">
        <f t="shared" si="40"/>
        <v>120.45669028039235</v>
      </c>
      <c r="J80" s="70">
        <f t="shared" si="40"/>
        <v>120.45669028039235</v>
      </c>
      <c r="K80" s="70">
        <f t="shared" si="40"/>
        <v>120.45669028039235</v>
      </c>
      <c r="O80" s="40"/>
    </row>
    <row r="81" spans="1:15" x14ac:dyDescent="0.35">
      <c r="A81" s="16" t="s">
        <v>458</v>
      </c>
      <c r="B81" s="81">
        <f>-B9/('profit and loss'!B4+'profit and loss'!B10)</f>
        <v>3.817591088419587E-2</v>
      </c>
      <c r="C81" s="81">
        <f>-C9/('profit and loss'!C4+'profit and loss'!C10)</f>
        <v>0.11138434832923477</v>
      </c>
      <c r="D81" s="81">
        <f>-D9/('profit and loss'!D4+'profit and loss'!D10)</f>
        <v>4.9280081132654557E-2</v>
      </c>
      <c r="E81" s="81">
        <f>-E9/('profit and loss'!E4+'profit and loss'!E10)</f>
        <v>2.5345023867063454E-2</v>
      </c>
      <c r="F81" s="81">
        <f>-F9/('profit and loss'!F4+'profit and loss'!F10)</f>
        <v>6.999854774797204E-2</v>
      </c>
      <c r="G81" s="99">
        <f>AVERAGE(A81:E81)</f>
        <v>5.6046341053287159E-2</v>
      </c>
      <c r="H81" s="99">
        <f>AVERAGE(B81:F81)</f>
        <v>5.8836782392224139E-2</v>
      </c>
      <c r="I81" s="99">
        <f>H81</f>
        <v>5.8836782392224139E-2</v>
      </c>
      <c r="J81" s="99">
        <f t="shared" ref="J81:K81" si="41">I81</f>
        <v>5.8836782392224139E-2</v>
      </c>
      <c r="K81" s="99">
        <f t="shared" si="41"/>
        <v>5.8836782392224139E-2</v>
      </c>
      <c r="O81" s="40"/>
    </row>
    <row r="82" spans="1:15" x14ac:dyDescent="0.35">
      <c r="A82" s="16" t="s">
        <v>460</v>
      </c>
      <c r="B82" s="46">
        <f>-('profit and loss'!B4+'profit and loss'!B10)</f>
        <v>51708</v>
      </c>
      <c r="C82" s="46">
        <f>-('profit and loss'!C4+'profit and loss'!C10)</f>
        <v>62217</v>
      </c>
      <c r="D82" s="46">
        <f>-('profit and loss'!D4+'profit and loss'!D10)</f>
        <v>74939</v>
      </c>
      <c r="E82" s="46">
        <f>-('profit and loss'!E4+'profit and loss'!E10)</f>
        <v>100138</v>
      </c>
      <c r="F82" s="46">
        <f>-('profit and loss'!F4+'profit and loss'!F10)</f>
        <v>96402</v>
      </c>
      <c r="G82" s="46">
        <f>-('profit and loss'!G4+'profit and loss'!G10)</f>
        <v>108708.75</v>
      </c>
      <c r="H82" s="46">
        <f>-('profit and loss'!H4+'profit and loss'!H10)</f>
        <v>87444.765683281337</v>
      </c>
      <c r="I82" s="46">
        <f>-('profit and loss'!I4+'profit and loss'!I10)</f>
        <v>88484.914914229958</v>
      </c>
      <c r="J82" s="46">
        <f>-('profit and loss'!J4+'profit and loss'!J10)</f>
        <v>92702.117769915872</v>
      </c>
      <c r="K82" s="46">
        <f>-('profit and loss'!K4+'profit and loss'!K10)</f>
        <v>391788.29064734367</v>
      </c>
      <c r="O82" s="40"/>
    </row>
    <row r="83" spans="1:15" x14ac:dyDescent="0.35">
      <c r="A83" s="16"/>
      <c r="B83" s="46"/>
      <c r="C83" s="46"/>
      <c r="D83" s="46"/>
      <c r="E83" s="46"/>
      <c r="F83" s="46"/>
      <c r="G83" s="46"/>
      <c r="H83" s="46"/>
      <c r="I83" s="46"/>
      <c r="J83" s="46"/>
      <c r="K83" s="46"/>
      <c r="O83" s="40"/>
    </row>
    <row r="84" spans="1:15" x14ac:dyDescent="0.35">
      <c r="A84" s="54" t="s">
        <v>518</v>
      </c>
      <c r="B84" s="46"/>
      <c r="C84" s="46"/>
      <c r="D84" s="46"/>
      <c r="E84" s="46"/>
      <c r="F84" s="46"/>
      <c r="G84" s="46"/>
      <c r="H84" s="46"/>
      <c r="I84" s="46"/>
      <c r="J84" s="46"/>
      <c r="K84" s="46"/>
      <c r="O84" s="40"/>
    </row>
    <row r="85" spans="1:15" x14ac:dyDescent="0.35">
      <c r="A85" s="16" t="s">
        <v>82</v>
      </c>
      <c r="B85" s="46"/>
      <c r="C85" s="46"/>
      <c r="D85" s="46"/>
      <c r="E85" s="46"/>
      <c r="F85" s="46"/>
      <c r="G85" s="46"/>
      <c r="H85" s="46"/>
      <c r="I85" s="46"/>
      <c r="J85" s="46"/>
      <c r="K85" s="46"/>
      <c r="O85" s="40"/>
    </row>
    <row r="86" spans="1:15" x14ac:dyDescent="0.35">
      <c r="A86" s="16" t="s">
        <v>519</v>
      </c>
      <c r="B86" s="46"/>
      <c r="C86" s="46"/>
      <c r="D86" s="46"/>
      <c r="E86" s="46"/>
      <c r="F86" s="46"/>
      <c r="G86" s="46"/>
      <c r="H86" s="46"/>
      <c r="I86" s="46"/>
      <c r="J86" s="46"/>
      <c r="K86" s="46"/>
      <c r="O86" s="40"/>
    </row>
    <row r="87" spans="1:15" x14ac:dyDescent="0.35">
      <c r="A87" s="16" t="s">
        <v>521</v>
      </c>
      <c r="B87" s="46"/>
      <c r="C87" s="46"/>
      <c r="D87" s="46"/>
      <c r="E87" s="46"/>
      <c r="F87" s="46"/>
      <c r="G87" s="46"/>
      <c r="H87" s="46"/>
      <c r="I87" s="46"/>
      <c r="J87" s="46"/>
      <c r="K87" s="46"/>
      <c r="O87" s="40"/>
    </row>
    <row r="88" spans="1:15" x14ac:dyDescent="0.35">
      <c r="A88" s="16" t="s">
        <v>520</v>
      </c>
      <c r="B88" s="46"/>
      <c r="C88" s="46"/>
      <c r="D88" s="46"/>
      <c r="E88" s="46">
        <f>'cashflow sheet'!E33</f>
        <v>-11099</v>
      </c>
      <c r="F88" s="46">
        <f>'cashflow sheet'!F33</f>
        <v>-12302</v>
      </c>
      <c r="G88" s="46"/>
      <c r="H88" s="46"/>
      <c r="I88" s="46"/>
      <c r="J88" s="46"/>
      <c r="K88" s="46"/>
      <c r="O88" s="40"/>
    </row>
    <row r="89" spans="1:15" ht="18.5" x14ac:dyDescent="0.45">
      <c r="A89" s="95" t="s">
        <v>249</v>
      </c>
      <c r="B89" s="57"/>
      <c r="C89" s="44"/>
      <c r="D89" s="44"/>
      <c r="E89" s="44"/>
      <c r="F89" s="44"/>
      <c r="G89" s="44"/>
      <c r="H89" s="44"/>
      <c r="I89" s="44"/>
      <c r="J89" s="44"/>
      <c r="K89" s="44"/>
      <c r="O89" s="40"/>
    </row>
    <row r="90" spans="1:15" ht="21" x14ac:dyDescent="0.5">
      <c r="A90" s="94" t="s">
        <v>251</v>
      </c>
      <c r="B90" s="46"/>
      <c r="C90" s="46"/>
      <c r="D90" s="46"/>
      <c r="E90" s="46"/>
      <c r="F90" s="64">
        <v>2024</v>
      </c>
      <c r="G90" s="64">
        <v>2025</v>
      </c>
      <c r="H90" s="64">
        <v>2026</v>
      </c>
      <c r="I90" s="46"/>
      <c r="J90" s="46"/>
      <c r="K90" s="46"/>
      <c r="O90" s="40"/>
    </row>
    <row r="91" spans="1:15" x14ac:dyDescent="0.35">
      <c r="A91" s="16" t="s">
        <v>253</v>
      </c>
      <c r="B91" s="46"/>
      <c r="C91" s="46"/>
      <c r="D91" s="46"/>
      <c r="E91" s="46"/>
      <c r="F91" s="72">
        <f>'cashflow sheet'!F36</f>
        <v>3000</v>
      </c>
      <c r="G91" s="72">
        <f>F94</f>
        <v>9813</v>
      </c>
      <c r="H91" s="72">
        <f>G94</f>
        <v>8313</v>
      </c>
      <c r="I91" s="72">
        <f t="shared" ref="I91:K91" si="42">H94</f>
        <v>6813</v>
      </c>
      <c r="J91" s="72">
        <f t="shared" si="42"/>
        <v>5313</v>
      </c>
      <c r="K91" s="72">
        <f t="shared" si="42"/>
        <v>3813</v>
      </c>
      <c r="O91" s="40"/>
    </row>
    <row r="92" spans="1:15" x14ac:dyDescent="0.35">
      <c r="A92" s="16" t="s">
        <v>254</v>
      </c>
      <c r="B92" s="46"/>
      <c r="C92" s="46"/>
      <c r="D92" s="46"/>
      <c r="E92" s="66" t="s">
        <v>261</v>
      </c>
      <c r="F92" s="72">
        <f>'cashflow sheet'!F37</f>
        <v>-326</v>
      </c>
      <c r="G92" s="72">
        <f>-G97</f>
        <v>-1500</v>
      </c>
      <c r="H92" s="72">
        <f t="shared" ref="H92:I92" si="43">-H97</f>
        <v>-1500</v>
      </c>
      <c r="I92" s="72">
        <f t="shared" ref="I92:K92" si="44">-I97</f>
        <v>-1500</v>
      </c>
      <c r="J92" s="72">
        <f t="shared" si="44"/>
        <v>-1500</v>
      </c>
      <c r="K92" s="72">
        <f t="shared" si="44"/>
        <v>-1500</v>
      </c>
      <c r="O92" s="40"/>
    </row>
    <row r="93" spans="1:15" x14ac:dyDescent="0.35">
      <c r="A93" s="73" t="s">
        <v>255</v>
      </c>
      <c r="B93" s="74"/>
      <c r="C93" s="74"/>
      <c r="D93" s="74"/>
      <c r="E93" s="74"/>
      <c r="F93" s="75">
        <f>F98*F91</f>
        <v>292.5</v>
      </c>
      <c r="G93" s="75">
        <f>G98*G91</f>
        <v>956.76750000000004</v>
      </c>
      <c r="H93" s="75">
        <f>H98*H91</f>
        <v>810.51750000000004</v>
      </c>
      <c r="I93" s="75">
        <f t="shared" ref="I93:K93" si="45">I98*I91</f>
        <v>664.26750000000004</v>
      </c>
      <c r="J93" s="75">
        <f t="shared" si="45"/>
        <v>518.01750000000004</v>
      </c>
      <c r="K93" s="75">
        <f t="shared" si="45"/>
        <v>371.76750000000004</v>
      </c>
      <c r="O93" s="40"/>
    </row>
    <row r="94" spans="1:15" x14ac:dyDescent="0.35">
      <c r="A94" s="16" t="s">
        <v>257</v>
      </c>
      <c r="B94" s="46"/>
      <c r="C94" s="46"/>
      <c r="D94" s="46"/>
      <c r="E94" s="46"/>
      <c r="F94" s="72">
        <f>F31+F32</f>
        <v>9813</v>
      </c>
      <c r="G94" s="72">
        <f t="shared" ref="F94:K94" si="46">G91+G92</f>
        <v>8313</v>
      </c>
      <c r="H94" s="72">
        <f t="shared" si="46"/>
        <v>6813</v>
      </c>
      <c r="I94" s="72">
        <f t="shared" si="46"/>
        <v>5313</v>
      </c>
      <c r="J94" s="72">
        <f t="shared" si="46"/>
        <v>3813</v>
      </c>
      <c r="K94" s="72">
        <f t="shared" si="46"/>
        <v>2313</v>
      </c>
      <c r="O94" s="40"/>
    </row>
    <row r="95" spans="1:15" x14ac:dyDescent="0.35">
      <c r="A95" s="16" t="s">
        <v>450</v>
      </c>
      <c r="B95" s="46"/>
      <c r="C95" s="46"/>
      <c r="D95" s="46"/>
      <c r="E95" s="46"/>
      <c r="F95" s="72"/>
      <c r="G95" s="72">
        <f>0.1*G94</f>
        <v>831.30000000000007</v>
      </c>
      <c r="H95" s="72">
        <f>0.1*H94</f>
        <v>681.30000000000007</v>
      </c>
      <c r="I95" s="72">
        <f t="shared" ref="I95:K95" si="47">0.1*I94</f>
        <v>531.30000000000007</v>
      </c>
      <c r="J95" s="72">
        <f t="shared" si="47"/>
        <v>381.3</v>
      </c>
      <c r="K95" s="72">
        <f t="shared" si="47"/>
        <v>231.3</v>
      </c>
      <c r="O95" s="40"/>
    </row>
    <row r="96" spans="1:15" x14ac:dyDescent="0.35">
      <c r="A96" s="16" t="s">
        <v>451</v>
      </c>
      <c r="B96" s="46"/>
      <c r="C96" s="46"/>
      <c r="D96" s="46"/>
      <c r="E96" s="46"/>
      <c r="F96" s="72"/>
      <c r="G96" s="72">
        <f>G94-G95</f>
        <v>7481.7</v>
      </c>
      <c r="H96" s="72">
        <f>H94-H95</f>
        <v>6131.7</v>
      </c>
      <c r="I96" s="72">
        <f t="shared" ref="I96:K96" si="48">I94-I95</f>
        <v>4781.7</v>
      </c>
      <c r="J96" s="72">
        <f t="shared" si="48"/>
        <v>3431.7</v>
      </c>
      <c r="K96" s="72">
        <f t="shared" si="48"/>
        <v>2081.6999999999998</v>
      </c>
      <c r="O96" s="40"/>
    </row>
    <row r="97" spans="1:15" x14ac:dyDescent="0.35">
      <c r="A97" s="16" t="s">
        <v>263</v>
      </c>
      <c r="B97" s="46"/>
      <c r="C97" s="46"/>
      <c r="D97" s="46"/>
      <c r="E97" s="46"/>
      <c r="F97" s="72"/>
      <c r="G97" s="72">
        <v>1500</v>
      </c>
      <c r="H97" s="72">
        <f>G97</f>
        <v>1500</v>
      </c>
      <c r="I97" s="72">
        <f t="shared" ref="I97:K97" si="49">H97</f>
        <v>1500</v>
      </c>
      <c r="J97" s="72">
        <f t="shared" si="49"/>
        <v>1500</v>
      </c>
      <c r="K97" s="72">
        <f t="shared" si="49"/>
        <v>1500</v>
      </c>
      <c r="O97" s="40"/>
    </row>
    <row r="98" spans="1:15" x14ac:dyDescent="0.35">
      <c r="A98" s="16" t="s">
        <v>256</v>
      </c>
      <c r="B98" s="46"/>
      <c r="C98" s="46"/>
      <c r="D98" s="46"/>
      <c r="E98" s="46"/>
      <c r="F98" s="67">
        <v>9.7500000000000003E-2</v>
      </c>
      <c r="G98" s="67">
        <f>F98</f>
        <v>9.7500000000000003E-2</v>
      </c>
      <c r="H98" s="67">
        <f t="shared" ref="H98:K98" si="50">G98</f>
        <v>9.7500000000000003E-2</v>
      </c>
      <c r="I98" s="67">
        <f t="shared" si="50"/>
        <v>9.7500000000000003E-2</v>
      </c>
      <c r="J98" s="67">
        <f t="shared" si="50"/>
        <v>9.7500000000000003E-2</v>
      </c>
      <c r="K98" s="67">
        <f t="shared" si="50"/>
        <v>9.7500000000000003E-2</v>
      </c>
      <c r="O98" s="40"/>
    </row>
    <row r="99" spans="1:15" x14ac:dyDescent="0.35">
      <c r="A99" s="16" t="s">
        <v>252</v>
      </c>
      <c r="B99" s="46"/>
      <c r="C99" s="46"/>
      <c r="D99" s="46"/>
      <c r="E99" s="46"/>
      <c r="F99" s="46"/>
      <c r="G99" s="46"/>
      <c r="H99" s="46"/>
      <c r="I99" s="46"/>
      <c r="J99" s="46"/>
      <c r="K99" s="46"/>
      <c r="O99" s="40"/>
    </row>
    <row r="100" spans="1:15" x14ac:dyDescent="0.35">
      <c r="A100" s="16" t="s">
        <v>457</v>
      </c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16"/>
      <c r="O100" s="40"/>
    </row>
    <row r="101" spans="1:15" x14ac:dyDescent="0.35">
      <c r="A101" s="1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16"/>
      <c r="O101" s="40"/>
    </row>
    <row r="102" spans="1:15" x14ac:dyDescent="0.35">
      <c r="A102" s="1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O102" s="40"/>
    </row>
    <row r="103" spans="1:15" x14ac:dyDescent="0.35">
      <c r="A103" s="1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O103" s="40"/>
    </row>
    <row r="104" spans="1:15" ht="21" x14ac:dyDescent="0.5">
      <c r="A104" s="93" t="s">
        <v>264</v>
      </c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O104" s="40"/>
    </row>
    <row r="105" spans="1:15" ht="18.5" x14ac:dyDescent="0.45">
      <c r="A105" s="96" t="s">
        <v>260</v>
      </c>
      <c r="B105" s="58"/>
      <c r="C105" s="58"/>
      <c r="D105" s="58"/>
      <c r="E105" s="48">
        <v>2023</v>
      </c>
      <c r="F105" s="48">
        <v>2024</v>
      </c>
      <c r="G105" s="48">
        <v>2025</v>
      </c>
      <c r="H105" s="49"/>
      <c r="I105" s="51"/>
      <c r="J105" s="51"/>
      <c r="K105" s="51"/>
      <c r="O105" s="40"/>
    </row>
    <row r="106" spans="1:15" x14ac:dyDescent="0.35">
      <c r="A106" s="16"/>
      <c r="B106" s="46"/>
      <c r="C106" s="46"/>
      <c r="D106" s="46"/>
      <c r="E106" s="46">
        <v>7000</v>
      </c>
      <c r="F106" s="46">
        <v>2000</v>
      </c>
      <c r="G106" s="46">
        <v>2500</v>
      </c>
      <c r="H106" s="46"/>
      <c r="I106" s="46"/>
      <c r="J106" s="46"/>
      <c r="K106" s="46"/>
      <c r="O106" s="40"/>
    </row>
    <row r="107" spans="1:15" x14ac:dyDescent="0.35">
      <c r="A107" s="16" t="s">
        <v>258</v>
      </c>
      <c r="B107" s="46"/>
      <c r="C107" s="46"/>
      <c r="D107" s="46"/>
      <c r="E107" s="60">
        <v>9.5000000000000001E-2</v>
      </c>
      <c r="F107" s="60">
        <v>9.5000000000000001E-2</v>
      </c>
      <c r="G107" s="60">
        <v>9.5000000000000001E-2</v>
      </c>
      <c r="H107" s="46"/>
      <c r="I107" s="46"/>
      <c r="J107" s="46"/>
      <c r="K107" s="46"/>
      <c r="O107" s="40"/>
    </row>
    <row r="108" spans="1:15" x14ac:dyDescent="0.35">
      <c r="A108" s="16" t="s">
        <v>259</v>
      </c>
      <c r="B108" s="46"/>
      <c r="C108" s="46"/>
      <c r="D108" s="46"/>
      <c r="E108" s="61">
        <v>3</v>
      </c>
      <c r="F108" s="61">
        <v>3</v>
      </c>
      <c r="G108" s="61">
        <v>3</v>
      </c>
      <c r="H108" s="46"/>
      <c r="I108" s="46"/>
      <c r="J108" s="46"/>
      <c r="K108" s="46"/>
      <c r="O108" s="40"/>
    </row>
    <row r="109" spans="1:15" x14ac:dyDescent="0.35">
      <c r="A109" s="54"/>
      <c r="B109" s="54"/>
      <c r="C109" s="55" t="s">
        <v>276</v>
      </c>
      <c r="D109" s="55"/>
      <c r="E109" s="54"/>
      <c r="F109" s="54"/>
      <c r="G109" s="54"/>
      <c r="H109" s="54"/>
      <c r="I109" s="56"/>
      <c r="J109" s="56"/>
      <c r="K109" s="56"/>
      <c r="O109" s="40"/>
    </row>
    <row r="110" spans="1:15" x14ac:dyDescent="0.35">
      <c r="A110" s="16"/>
      <c r="B110" s="16"/>
      <c r="C110" s="16"/>
      <c r="D110" s="16"/>
      <c r="E110" s="50"/>
      <c r="F110" s="50"/>
      <c r="G110" s="48"/>
      <c r="H110" s="48"/>
      <c r="I110" s="52"/>
      <c r="J110" s="52">
        <v>2028</v>
      </c>
      <c r="K110" s="53"/>
      <c r="O110" s="40"/>
    </row>
    <row r="111" spans="1:15" x14ac:dyDescent="0.35">
      <c r="A111" s="16"/>
      <c r="B111" s="16"/>
      <c r="C111" s="16"/>
      <c r="D111" s="16"/>
      <c r="E111" s="16"/>
      <c r="F111" s="62"/>
      <c r="G111" s="46"/>
      <c r="H111" s="46"/>
      <c r="I111" s="46"/>
      <c r="J111" s="16"/>
      <c r="K111" s="46"/>
      <c r="O111" s="40"/>
    </row>
    <row r="112" spans="1:15" x14ac:dyDescent="0.35">
      <c r="A112" s="16"/>
      <c r="B112" s="16"/>
      <c r="C112" s="16"/>
      <c r="D112" s="16"/>
      <c r="E112" s="16"/>
      <c r="F112" s="16"/>
      <c r="G112" s="46"/>
      <c r="H112" s="46"/>
      <c r="I112" s="46"/>
      <c r="J112" s="46"/>
      <c r="K112" s="46"/>
      <c r="O112" s="40"/>
    </row>
    <row r="113" spans="1:15" x14ac:dyDescent="0.35">
      <c r="A113" s="16"/>
      <c r="B113" s="16"/>
      <c r="C113" s="16"/>
      <c r="D113" s="16"/>
      <c r="E113" s="16"/>
      <c r="F113" s="16"/>
      <c r="G113" s="46"/>
      <c r="H113" s="46"/>
      <c r="I113" s="46"/>
      <c r="J113" s="46"/>
      <c r="K113" s="46"/>
      <c r="O113" s="40"/>
    </row>
    <row r="114" spans="1:15" x14ac:dyDescent="0.35">
      <c r="A114" s="41"/>
      <c r="B114" s="41"/>
      <c r="C114" s="41"/>
      <c r="D114" s="41"/>
      <c r="E114" s="48"/>
      <c r="F114" s="49"/>
      <c r="G114" s="49"/>
      <c r="H114" s="49"/>
      <c r="I114" s="49"/>
      <c r="J114" s="49"/>
      <c r="K114" s="51"/>
      <c r="O114" s="40"/>
    </row>
    <row r="115" spans="1:15" x14ac:dyDescent="0.35">
      <c r="A115" s="54"/>
      <c r="B115" s="54"/>
      <c r="C115" s="55" t="s">
        <v>274</v>
      </c>
      <c r="D115" s="55"/>
      <c r="E115" s="54"/>
      <c r="F115" s="54"/>
      <c r="G115" s="54"/>
      <c r="H115" s="54"/>
      <c r="I115" s="56"/>
      <c r="J115" s="56"/>
      <c r="K115" s="56"/>
      <c r="O115" s="40"/>
    </row>
    <row r="116" spans="1:15" x14ac:dyDescent="0.35">
      <c r="A116" s="16"/>
      <c r="B116" s="16"/>
      <c r="C116" s="16"/>
      <c r="D116" s="16"/>
      <c r="E116" s="48">
        <v>2023</v>
      </c>
      <c r="F116" s="48">
        <v>2024</v>
      </c>
      <c r="G116" s="48">
        <v>2025</v>
      </c>
      <c r="H116" s="48">
        <v>2026</v>
      </c>
      <c r="I116" s="48">
        <v>2027</v>
      </c>
      <c r="J116" s="48">
        <v>2028</v>
      </c>
      <c r="K116" s="51"/>
      <c r="O116" s="40"/>
    </row>
    <row r="117" spans="1:15" x14ac:dyDescent="0.35">
      <c r="A117" s="16"/>
      <c r="B117" s="16"/>
      <c r="C117" s="63"/>
      <c r="D117" s="63"/>
      <c r="E117" s="16"/>
      <c r="F117" s="16"/>
      <c r="G117" s="16">
        <f>-(G42-F42)</f>
        <v>-8320</v>
      </c>
      <c r="H117" s="46">
        <f>E106</f>
        <v>7000</v>
      </c>
      <c r="I117" s="46">
        <f>F106</f>
        <v>2000</v>
      </c>
      <c r="J117" s="46">
        <v>175</v>
      </c>
      <c r="K117" s="16"/>
      <c r="O117" s="40"/>
    </row>
    <row r="118" spans="1:15" x14ac:dyDescent="0.35">
      <c r="A118" s="16"/>
      <c r="B118" s="16"/>
      <c r="C118" s="63"/>
      <c r="D118" s="63"/>
      <c r="E118" s="16"/>
      <c r="F118" s="16"/>
      <c r="G118" s="16"/>
      <c r="H118" s="46"/>
      <c r="I118" s="46"/>
      <c r="J118" s="46"/>
      <c r="K118" s="16"/>
      <c r="O118" s="40"/>
    </row>
    <row r="119" spans="1:15" x14ac:dyDescent="0.35">
      <c r="A119" s="1"/>
      <c r="B119" s="1"/>
      <c r="C119" s="122"/>
      <c r="D119" s="122"/>
      <c r="E119" s="54" t="s">
        <v>545</v>
      </c>
      <c r="F119" s="1"/>
      <c r="G119" s="1"/>
      <c r="H119" s="44"/>
      <c r="I119" s="44"/>
      <c r="J119" s="44"/>
      <c r="K119" s="1"/>
      <c r="O119" s="40"/>
    </row>
    <row r="120" spans="1:15" x14ac:dyDescent="0.35">
      <c r="A120" s="16" t="s">
        <v>526</v>
      </c>
      <c r="B120" s="16"/>
      <c r="C120" s="63"/>
      <c r="D120" s="63">
        <f>C121</f>
        <v>331</v>
      </c>
      <c r="E120" s="63">
        <f t="shared" ref="E120:F120" si="51">D121</f>
        <v>181</v>
      </c>
      <c r="F120" s="63">
        <f t="shared" si="51"/>
        <v>41</v>
      </c>
      <c r="G120" s="16"/>
      <c r="H120" s="46"/>
      <c r="I120" s="46"/>
      <c r="J120" s="46"/>
      <c r="K120" s="16"/>
      <c r="O120" s="40"/>
    </row>
    <row r="121" spans="1:15" x14ac:dyDescent="0.35">
      <c r="A121" s="16" t="s">
        <v>527</v>
      </c>
      <c r="B121" s="16"/>
      <c r="C121" s="63">
        <v>331</v>
      </c>
      <c r="D121" s="63">
        <v>181</v>
      </c>
      <c r="E121" s="63">
        <v>41</v>
      </c>
      <c r="F121" s="63">
        <v>199</v>
      </c>
      <c r="G121" s="16"/>
      <c r="H121" s="46"/>
      <c r="I121" s="46"/>
      <c r="J121" s="46"/>
      <c r="K121" s="16"/>
      <c r="O121" s="40"/>
    </row>
    <row r="122" spans="1:15" x14ac:dyDescent="0.35">
      <c r="A122" s="16" t="s">
        <v>528</v>
      </c>
      <c r="B122" s="16"/>
      <c r="C122" s="16"/>
      <c r="D122" s="16">
        <v>31</v>
      </c>
      <c r="E122" s="16">
        <v>22</v>
      </c>
      <c r="F122" s="16">
        <v>10</v>
      </c>
      <c r="G122" s="16"/>
      <c r="H122" s="59"/>
      <c r="I122" s="58"/>
      <c r="J122" s="58"/>
      <c r="K122" s="46"/>
      <c r="O122" s="40"/>
    </row>
    <row r="123" spans="1:15" x14ac:dyDescent="0.35">
      <c r="A123" s="16" t="s">
        <v>529</v>
      </c>
      <c r="B123" s="16"/>
      <c r="C123" s="16"/>
      <c r="D123" s="81">
        <f>D122/D120</f>
        <v>9.3655589123867067E-2</v>
      </c>
      <c r="E123" s="81">
        <f t="shared" ref="E123:F123" si="52">E122/E120</f>
        <v>0.12154696132596685</v>
      </c>
      <c r="F123" s="81">
        <f t="shared" si="52"/>
        <v>0.24390243902439024</v>
      </c>
      <c r="G123" s="99">
        <f>AVERAGE(D123:F123)</f>
        <v>0.15303499649140806</v>
      </c>
      <c r="H123" s="99">
        <f>AVERAGE(D123:F123)</f>
        <v>0.15303499649140806</v>
      </c>
      <c r="I123" s="99">
        <f>H123</f>
        <v>0.15303499649140806</v>
      </c>
      <c r="J123" s="99">
        <f t="shared" ref="J123:K123" si="53">I123</f>
        <v>0.15303499649140806</v>
      </c>
      <c r="K123" s="99">
        <f t="shared" si="53"/>
        <v>0.15303499649140806</v>
      </c>
      <c r="O123" s="40"/>
    </row>
    <row r="124" spans="1:15" x14ac:dyDescent="0.35">
      <c r="A124" s="16"/>
      <c r="B124" s="16"/>
      <c r="C124" s="16"/>
      <c r="D124" s="16">
        <f>D122/D121</f>
        <v>0.17127071823204421</v>
      </c>
      <c r="E124" s="16"/>
      <c r="F124" s="16"/>
      <c r="G124" s="16"/>
      <c r="H124" s="59"/>
      <c r="I124" s="58"/>
      <c r="J124" s="58"/>
      <c r="K124" s="58"/>
      <c r="O124" s="40"/>
    </row>
    <row r="125" spans="1:15" x14ac:dyDescent="0.35">
      <c r="A125" s="16"/>
      <c r="B125" s="16"/>
      <c r="C125" s="16"/>
      <c r="D125" s="16"/>
      <c r="E125" s="16"/>
      <c r="F125" s="16"/>
      <c r="G125" s="16"/>
      <c r="H125" s="16"/>
      <c r="I125" s="46"/>
      <c r="J125" s="46"/>
      <c r="K125" s="46"/>
      <c r="O125" s="40"/>
    </row>
    <row r="126" spans="1:15" x14ac:dyDescent="0.35">
      <c r="A126" s="54" t="s">
        <v>522</v>
      </c>
      <c r="B126" s="16"/>
      <c r="C126" s="16"/>
      <c r="D126" s="16"/>
      <c r="E126" s="16"/>
      <c r="F126" s="16"/>
      <c r="G126" s="16"/>
      <c r="H126" s="16"/>
      <c r="I126" s="46"/>
      <c r="J126" s="46"/>
      <c r="K126" s="46"/>
      <c r="O126" s="40"/>
    </row>
    <row r="127" spans="1:15" x14ac:dyDescent="0.35">
      <c r="A127" s="16" t="s">
        <v>523</v>
      </c>
      <c r="B127" s="46"/>
      <c r="C127" s="46"/>
      <c r="D127" s="46"/>
      <c r="E127" s="46"/>
      <c r="F127" s="46"/>
      <c r="G127" s="46">
        <f>F39+F34</f>
        <v>294</v>
      </c>
      <c r="H127" s="46">
        <f>G131</f>
        <v>264.60000000000002</v>
      </c>
      <c r="I127" s="46">
        <f>H131</f>
        <v>238.14000000000001</v>
      </c>
      <c r="J127" s="46">
        <f>I131</f>
        <v>214.32600000000002</v>
      </c>
      <c r="K127" s="46">
        <f>J131</f>
        <v>192.89340000000001</v>
      </c>
      <c r="O127" s="40"/>
    </row>
    <row r="128" spans="1:15" x14ac:dyDescent="0.35">
      <c r="A128" s="16" t="s">
        <v>524</v>
      </c>
      <c r="B128" s="46"/>
      <c r="C128" s="46"/>
      <c r="D128" s="46"/>
      <c r="E128" s="46"/>
      <c r="F128" s="46"/>
      <c r="G128" s="46">
        <f>0.1*G127</f>
        <v>29.400000000000002</v>
      </c>
      <c r="H128" s="46">
        <f t="shared" ref="H128:K128" si="54">0.1*H127</f>
        <v>26.460000000000004</v>
      </c>
      <c r="I128" s="46">
        <f t="shared" si="54"/>
        <v>23.814000000000004</v>
      </c>
      <c r="J128" s="46">
        <f t="shared" si="54"/>
        <v>21.432600000000004</v>
      </c>
      <c r="K128" s="46">
        <f t="shared" si="54"/>
        <v>19.289340000000003</v>
      </c>
      <c r="O128" s="40"/>
    </row>
    <row r="129" spans="1:15" x14ac:dyDescent="0.35">
      <c r="A129" s="46" t="s">
        <v>660</v>
      </c>
      <c r="B129" s="46"/>
      <c r="C129" s="16"/>
      <c r="D129" s="16"/>
      <c r="E129" s="16"/>
      <c r="F129" s="16"/>
      <c r="G129" s="70">
        <f>0.12*G127</f>
        <v>35.28</v>
      </c>
      <c r="H129" s="70">
        <f t="shared" ref="H129:K129" si="55">0.12*H127</f>
        <v>31.752000000000002</v>
      </c>
      <c r="I129" s="70">
        <f t="shared" si="55"/>
        <v>28.576800000000002</v>
      </c>
      <c r="J129" s="70">
        <f t="shared" si="55"/>
        <v>25.71912</v>
      </c>
      <c r="K129" s="70">
        <f t="shared" si="55"/>
        <v>23.147207999999999</v>
      </c>
      <c r="O129" s="40"/>
    </row>
    <row r="130" spans="1:15" x14ac:dyDescent="0.35">
      <c r="A130" s="46" t="s">
        <v>525</v>
      </c>
      <c r="B130" s="46"/>
      <c r="C130" s="16"/>
      <c r="D130" s="16"/>
      <c r="E130" s="16"/>
      <c r="F130" s="16"/>
      <c r="G130" s="16"/>
      <c r="H130" s="16"/>
      <c r="I130" s="16"/>
      <c r="J130" s="16"/>
      <c r="K130" s="16"/>
      <c r="O130" s="40"/>
    </row>
    <row r="131" spans="1:15" x14ac:dyDescent="0.35">
      <c r="A131" s="46"/>
      <c r="B131" s="46"/>
      <c r="C131" s="16"/>
      <c r="D131" s="16"/>
      <c r="E131" s="16"/>
      <c r="F131" s="16"/>
      <c r="G131" s="46">
        <f>G127-G128</f>
        <v>264.60000000000002</v>
      </c>
      <c r="H131" s="46">
        <f t="shared" ref="H131:K131" si="56">H127-H128</f>
        <v>238.14000000000001</v>
      </c>
      <c r="I131" s="46">
        <f t="shared" si="56"/>
        <v>214.32600000000002</v>
      </c>
      <c r="J131" s="46">
        <f t="shared" si="56"/>
        <v>192.89340000000001</v>
      </c>
      <c r="K131" s="46">
        <f t="shared" si="56"/>
        <v>173.60406</v>
      </c>
      <c r="O131" s="40"/>
    </row>
    <row r="132" spans="1:15" ht="21" x14ac:dyDescent="0.5">
      <c r="A132" s="93" t="s">
        <v>268</v>
      </c>
      <c r="B132" s="46"/>
      <c r="C132" s="46"/>
      <c r="D132" s="46"/>
      <c r="E132" s="46"/>
      <c r="F132" s="46"/>
      <c r="G132" s="46">
        <f>G131*F34/(F34+F39)</f>
        <v>179.1</v>
      </c>
      <c r="H132" s="46">
        <f t="shared" ref="H132:K132" si="57">H131*G34/(G34+G39)</f>
        <v>161.19</v>
      </c>
      <c r="I132" s="46">
        <f t="shared" si="57"/>
        <v>145.071</v>
      </c>
      <c r="J132" s="46">
        <f t="shared" si="57"/>
        <v>130.56389999999999</v>
      </c>
      <c r="K132" s="46">
        <f t="shared" si="57"/>
        <v>117.50750999999998</v>
      </c>
      <c r="O132" s="40"/>
    </row>
    <row r="133" spans="1:15" x14ac:dyDescent="0.35">
      <c r="A133" s="16"/>
      <c r="B133" s="16"/>
      <c r="C133" s="16"/>
      <c r="D133" s="16"/>
      <c r="E133" s="49"/>
      <c r="F133" s="48">
        <v>2024</v>
      </c>
      <c r="G133" s="48">
        <v>2025</v>
      </c>
      <c r="H133" s="48">
        <v>2026</v>
      </c>
      <c r="I133" s="48">
        <v>2027</v>
      </c>
      <c r="J133" s="51"/>
      <c r="K133" s="51"/>
      <c r="O133" s="40"/>
    </row>
    <row r="134" spans="1:15" x14ac:dyDescent="0.35">
      <c r="A134" s="16" t="s">
        <v>269</v>
      </c>
      <c r="B134" s="46"/>
      <c r="C134" s="46"/>
      <c r="D134" s="46"/>
      <c r="E134" s="46"/>
      <c r="F134" s="46"/>
      <c r="G134" s="46">
        <v>13714</v>
      </c>
      <c r="H134" s="46"/>
      <c r="I134" s="46"/>
      <c r="J134" s="46"/>
      <c r="K134" s="46"/>
      <c r="O134" s="40"/>
    </row>
    <row r="135" spans="1:15" x14ac:dyDescent="0.35">
      <c r="A135" s="16" t="s">
        <v>270</v>
      </c>
      <c r="B135" s="46"/>
      <c r="C135" s="46"/>
      <c r="D135" s="46"/>
      <c r="E135" s="46"/>
      <c r="F135" s="46"/>
      <c r="G135" s="46">
        <v>121</v>
      </c>
      <c r="H135" s="46">
        <v>82</v>
      </c>
      <c r="I135" s="46">
        <v>152</v>
      </c>
      <c r="J135" s="46"/>
      <c r="K135" s="46"/>
      <c r="O135" s="40"/>
    </row>
    <row r="136" spans="1:15" x14ac:dyDescent="0.35">
      <c r="A136" s="16" t="s">
        <v>271</v>
      </c>
      <c r="B136" s="46"/>
      <c r="C136" s="46"/>
      <c r="D136" s="46"/>
      <c r="E136" s="46"/>
      <c r="F136" s="46"/>
      <c r="G136" s="46">
        <v>12928</v>
      </c>
      <c r="H136" s="46"/>
      <c r="I136" s="46"/>
      <c r="J136" s="46"/>
      <c r="K136" s="46"/>
      <c r="O136" s="40"/>
    </row>
    <row r="137" spans="1:15" x14ac:dyDescent="0.35">
      <c r="A137" s="16" t="s">
        <v>272</v>
      </c>
      <c r="B137" s="46"/>
      <c r="C137" s="46"/>
      <c r="D137" s="46"/>
      <c r="E137" s="46"/>
      <c r="F137" s="46"/>
      <c r="G137" s="46">
        <v>855</v>
      </c>
      <c r="H137" s="46">
        <v>7522</v>
      </c>
      <c r="I137" s="46">
        <v>2096</v>
      </c>
      <c r="J137" s="46"/>
      <c r="K137" s="46"/>
      <c r="O137" s="40"/>
    </row>
    <row r="138" spans="1:15" x14ac:dyDescent="0.35">
      <c r="A138" s="42" t="s">
        <v>262</v>
      </c>
      <c r="B138" s="47"/>
      <c r="C138" s="47"/>
      <c r="D138" s="47"/>
      <c r="E138" s="47"/>
      <c r="F138" s="47"/>
      <c r="G138" s="47">
        <f>SUM(G134:G137)</f>
        <v>27618</v>
      </c>
      <c r="H138" s="47">
        <f t="shared" ref="H138:I138" si="58">SUM(H134:H137)</f>
        <v>7604</v>
      </c>
      <c r="I138" s="47">
        <f t="shared" si="58"/>
        <v>2248</v>
      </c>
      <c r="J138" s="47"/>
      <c r="K138" s="47"/>
      <c r="O138" s="40"/>
    </row>
    <row r="139" spans="1:15" x14ac:dyDescent="0.35">
      <c r="A139" s="1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O139" s="40"/>
    </row>
    <row r="140" spans="1:15" x14ac:dyDescent="0.35">
      <c r="A140" s="1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O140" s="40"/>
    </row>
    <row r="141" spans="1:15" x14ac:dyDescent="0.35">
      <c r="A141" s="46"/>
      <c r="B141" s="46"/>
      <c r="C141" s="46"/>
      <c r="D141" s="16"/>
      <c r="E141" s="16"/>
      <c r="F141" s="16"/>
      <c r="G141" s="16"/>
      <c r="H141" s="16"/>
      <c r="I141" s="16"/>
      <c r="J141" s="16"/>
      <c r="K141" s="16"/>
      <c r="O141" s="40"/>
    </row>
    <row r="142" spans="1:15" x14ac:dyDescent="0.35">
      <c r="A142" s="103"/>
      <c r="B142" s="103"/>
      <c r="C142" s="103"/>
      <c r="D142" s="103" t="s">
        <v>480</v>
      </c>
      <c r="E142" s="103"/>
      <c r="F142" s="103"/>
      <c r="G142" s="103"/>
      <c r="H142" s="103"/>
      <c r="I142" s="103"/>
      <c r="J142" s="103"/>
      <c r="K142" s="103"/>
      <c r="O142" s="40"/>
    </row>
    <row r="143" spans="1:15" x14ac:dyDescent="0.35">
      <c r="A143" s="16" t="s">
        <v>546</v>
      </c>
      <c r="B143" s="16"/>
      <c r="C143" s="16"/>
      <c r="D143" s="16"/>
      <c r="E143" s="16"/>
      <c r="F143" s="16"/>
      <c r="G143" s="16">
        <f>F146</f>
        <v>165408</v>
      </c>
      <c r="H143" s="16"/>
      <c r="I143" s="16"/>
      <c r="J143" s="16"/>
      <c r="K143" s="16"/>
      <c r="O143" s="40"/>
    </row>
    <row r="144" spans="1:15" x14ac:dyDescent="0.35">
      <c r="A144" s="123" t="s">
        <v>550</v>
      </c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O144" s="40"/>
    </row>
    <row r="145" spans="1:15" x14ac:dyDescent="0.35">
      <c r="A145" s="16" t="s">
        <v>547</v>
      </c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O145" s="40"/>
    </row>
    <row r="146" spans="1:15" x14ac:dyDescent="0.35">
      <c r="A146" s="16" t="s">
        <v>551</v>
      </c>
      <c r="B146" s="16"/>
      <c r="C146" s="16"/>
      <c r="D146" s="16"/>
      <c r="E146" s="16"/>
      <c r="F146" s="16">
        <f>F21</f>
        <v>165408</v>
      </c>
      <c r="G146" s="16"/>
      <c r="H146" s="16"/>
      <c r="I146" s="16"/>
      <c r="J146" s="16"/>
      <c r="K146" s="16"/>
      <c r="O146" s="40"/>
    </row>
    <row r="147" spans="1:15" x14ac:dyDescent="0.35">
      <c r="A147" s="1"/>
      <c r="B147" s="1"/>
      <c r="C147" s="1"/>
      <c r="D147" s="54" t="s">
        <v>517</v>
      </c>
      <c r="E147" s="1"/>
      <c r="F147" s="1"/>
      <c r="G147" s="1"/>
      <c r="H147" s="1"/>
      <c r="I147" s="1"/>
      <c r="J147" s="1"/>
      <c r="K147" s="1"/>
      <c r="O147" s="40"/>
    </row>
    <row r="148" spans="1:15" x14ac:dyDescent="0.35">
      <c r="A148" s="16" t="s">
        <v>548</v>
      </c>
      <c r="B148" s="16"/>
      <c r="C148" s="16"/>
      <c r="D148" s="16"/>
      <c r="E148" s="16"/>
      <c r="F148" s="16">
        <f>E151</f>
        <v>-97143</v>
      </c>
      <c r="G148" s="16">
        <f>F151</f>
        <v>-74089</v>
      </c>
      <c r="H148" s="70">
        <f>G151</f>
        <v>3571.9643749999959</v>
      </c>
      <c r="I148" s="70">
        <f t="shared" ref="I148:J148" si="59">H151</f>
        <v>88093.655082109733</v>
      </c>
      <c r="J148" s="70">
        <f t="shared" si="59"/>
        <v>160347.04542975556</v>
      </c>
      <c r="K148" s="16"/>
      <c r="O148" s="40"/>
    </row>
    <row r="149" spans="1:15" x14ac:dyDescent="0.35">
      <c r="A149" s="16" t="s">
        <v>564</v>
      </c>
      <c r="B149" s="16"/>
      <c r="C149" s="16"/>
      <c r="D149" s="16"/>
      <c r="E149" s="16"/>
      <c r="F149" s="70"/>
      <c r="G149" s="70"/>
      <c r="H149" s="70"/>
      <c r="I149" s="70"/>
      <c r="J149" s="70"/>
      <c r="K149" s="16"/>
      <c r="O149" s="40"/>
    </row>
    <row r="150" spans="1:15" x14ac:dyDescent="0.35">
      <c r="A150" s="16" t="s">
        <v>521</v>
      </c>
      <c r="B150" s="16"/>
      <c r="C150" s="16"/>
      <c r="D150" s="16"/>
      <c r="E150" s="16"/>
      <c r="F150" s="70">
        <f>'profit and loss'!F24</f>
        <v>23054</v>
      </c>
      <c r="G150" s="70">
        <f>'profit and loss'!G24</f>
        <v>77660.964374999996</v>
      </c>
      <c r="H150" s="70">
        <f>'profit and loss'!H24</f>
        <v>84521.690707109738</v>
      </c>
      <c r="I150" s="70">
        <f>'profit and loss'!I24</f>
        <v>72253.390347645822</v>
      </c>
      <c r="J150" s="70">
        <f>'profit and loss'!J24</f>
        <v>83411.930490661762</v>
      </c>
      <c r="K150" s="16"/>
      <c r="O150" s="40"/>
    </row>
    <row r="151" spans="1:15" x14ac:dyDescent="0.35">
      <c r="A151" s="16" t="s">
        <v>551</v>
      </c>
      <c r="B151" s="16"/>
      <c r="C151" s="16"/>
      <c r="D151" s="16"/>
      <c r="E151" s="16">
        <f>'balance sheet'!E23</f>
        <v>-97143</v>
      </c>
      <c r="F151" s="70">
        <f>F148-F149+F150</f>
        <v>-74089</v>
      </c>
      <c r="G151" s="70">
        <f>G148-G149+G150</f>
        <v>3571.9643749999959</v>
      </c>
      <c r="H151" s="70">
        <f t="shared" ref="H151:J151" si="60">H148-H149+H150</f>
        <v>88093.655082109733</v>
      </c>
      <c r="I151" s="70">
        <f t="shared" si="60"/>
        <v>160347.04542975556</v>
      </c>
      <c r="J151" s="70">
        <f t="shared" si="60"/>
        <v>243758.97592041732</v>
      </c>
      <c r="K151" s="16"/>
      <c r="O151" s="40"/>
    </row>
    <row r="152" spans="1:15" x14ac:dyDescent="0.35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</row>
    <row r="153" spans="1:15" x14ac:dyDescent="0.35">
      <c r="A153" s="16" t="s">
        <v>562</v>
      </c>
      <c r="B153" s="16"/>
      <c r="C153" s="16"/>
      <c r="D153" s="16"/>
      <c r="E153" s="16"/>
      <c r="F153" s="16"/>
      <c r="G153" s="16">
        <v>0.14000000000000001</v>
      </c>
      <c r="H153" s="16"/>
      <c r="I153" s="16"/>
      <c r="J153" s="16"/>
      <c r="K153" s="16"/>
    </row>
    <row r="154" spans="1:15" x14ac:dyDescent="0.35">
      <c r="A154" s="16" t="s">
        <v>563</v>
      </c>
      <c r="B154" s="16"/>
      <c r="C154" s="16"/>
      <c r="D154" s="16"/>
      <c r="E154" s="16"/>
      <c r="F154" s="16"/>
      <c r="G154" s="126">
        <v>19294784</v>
      </c>
      <c r="H154" s="16"/>
      <c r="I154" s="16"/>
      <c r="J154" s="16"/>
      <c r="K154" s="16"/>
    </row>
    <row r="155" spans="1:15" x14ac:dyDescent="0.35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</row>
    <row r="156" spans="1:15" s="1" customFormat="1" x14ac:dyDescent="0.35">
      <c r="D156" s="54" t="s">
        <v>566</v>
      </c>
    </row>
    <row r="157" spans="1:15" x14ac:dyDescent="0.35">
      <c r="A157" s="16" t="s">
        <v>546</v>
      </c>
      <c r="B157" s="16"/>
      <c r="C157" s="16"/>
      <c r="D157" s="16">
        <f>C159</f>
        <v>887</v>
      </c>
      <c r="E157" s="16">
        <f t="shared" ref="E157:G157" si="61">D159</f>
        <v>5239</v>
      </c>
      <c r="F157" s="16">
        <f t="shared" si="61"/>
        <v>17740</v>
      </c>
      <c r="G157" s="16">
        <f t="shared" si="61"/>
        <v>12928</v>
      </c>
      <c r="H157" s="16">
        <f t="shared" ref="H157" si="62">G159</f>
        <v>12928</v>
      </c>
      <c r="I157" s="16">
        <f t="shared" ref="I157" si="63">H159</f>
        <v>12928</v>
      </c>
      <c r="J157" s="16">
        <f t="shared" ref="J157" si="64">I159</f>
        <v>12928</v>
      </c>
      <c r="K157" s="16">
        <f t="shared" ref="K157" si="65">J159</f>
        <v>12928</v>
      </c>
    </row>
    <row r="158" spans="1:15" x14ac:dyDescent="0.35">
      <c r="A158" s="16" t="s">
        <v>567</v>
      </c>
      <c r="B158" s="16"/>
      <c r="C158" s="16"/>
      <c r="D158" s="16">
        <f>D159-D157</f>
        <v>4352</v>
      </c>
      <c r="E158" s="16">
        <f>E159-E157</f>
        <v>12501</v>
      </c>
      <c r="F158" s="16">
        <f t="shared" ref="F158:G158" si="66">F159-F157</f>
        <v>-4812</v>
      </c>
      <c r="G158" s="16">
        <f t="shared" si="66"/>
        <v>0</v>
      </c>
      <c r="H158" s="136"/>
      <c r="I158" s="136"/>
      <c r="J158" s="136"/>
      <c r="K158" s="136"/>
    </row>
    <row r="159" spans="1:15" x14ac:dyDescent="0.35">
      <c r="A159" s="16" t="s">
        <v>568</v>
      </c>
      <c r="B159" s="16"/>
      <c r="C159" s="16">
        <f>C44</f>
        <v>887</v>
      </c>
      <c r="D159" s="16">
        <f>D44</f>
        <v>5239</v>
      </c>
      <c r="E159" s="16">
        <f>E44</f>
        <v>17740</v>
      </c>
      <c r="F159" s="16">
        <f>F44</f>
        <v>12928</v>
      </c>
      <c r="G159" s="16">
        <f>G44</f>
        <v>12928</v>
      </c>
      <c r="H159" s="136">
        <f>G159</f>
        <v>12928</v>
      </c>
      <c r="I159" s="136">
        <f t="shared" ref="I159:K159" si="67">H159</f>
        <v>12928</v>
      </c>
      <c r="J159" s="136">
        <f t="shared" si="67"/>
        <v>12928</v>
      </c>
      <c r="K159" s="136">
        <f t="shared" si="67"/>
        <v>12928</v>
      </c>
    </row>
    <row r="160" spans="1:15" x14ac:dyDescent="0.35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</row>
    <row r="161" spans="1:11" x14ac:dyDescent="0.35">
      <c r="A161" s="16" t="s">
        <v>569</v>
      </c>
      <c r="B161" s="16"/>
      <c r="C161" s="16"/>
      <c r="D161" s="81">
        <f>D158/'balance sheet'!D14</f>
        <v>0.64617668893838154</v>
      </c>
      <c r="E161" s="81">
        <f>E158/'balance sheet'!E14</f>
        <v>1.8635957066189623</v>
      </c>
      <c r="F161" s="81">
        <f>F158/'balance sheet'!F14</f>
        <v>-1.1295774647887324</v>
      </c>
      <c r="G161" s="81">
        <f>G158/'balance sheet'!G14</f>
        <v>0</v>
      </c>
      <c r="H161" s="99">
        <f>AVERAGE(D161:G161)</f>
        <v>0.34504873269215292</v>
      </c>
      <c r="I161" s="99">
        <f>H161</f>
        <v>0.34504873269215292</v>
      </c>
      <c r="J161" s="99">
        <f t="shared" ref="J161:K161" si="68">I161</f>
        <v>0.34504873269215292</v>
      </c>
      <c r="K161" s="99">
        <f t="shared" si="68"/>
        <v>0.34504873269215292</v>
      </c>
    </row>
    <row r="162" spans="1:11" x14ac:dyDescent="0.35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</row>
    <row r="163" spans="1:11" x14ac:dyDescent="0.35">
      <c r="A163" s="16"/>
      <c r="B163" s="16"/>
      <c r="C163" s="16"/>
      <c r="D163" s="81"/>
      <c r="E163" s="16"/>
      <c r="F163" s="16"/>
      <c r="G163" s="16"/>
      <c r="H163" s="16"/>
      <c r="I163" s="16"/>
      <c r="J163" s="16"/>
      <c r="K163" s="16"/>
    </row>
    <row r="164" spans="1:11" x14ac:dyDescent="0.35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</row>
    <row r="165" spans="1:11" x14ac:dyDescent="0.35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</row>
    <row r="166" spans="1:11" x14ac:dyDescent="0.35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</row>
  </sheetData>
  <phoneticPr fontId="9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922DBD-BE8C-4DB7-8A34-9DF9614ACDC4}">
  <dimension ref="A1:R68"/>
  <sheetViews>
    <sheetView zoomScale="86" zoomScaleNormal="74" workbookViewId="0">
      <pane ySplit="1" topLeftCell="A20" activePane="bottomLeft" state="frozen"/>
      <selection pane="bottomLeft" activeCell="G49" sqref="G49"/>
    </sheetView>
  </sheetViews>
  <sheetFormatPr defaultRowHeight="14.5" x14ac:dyDescent="0.35"/>
  <cols>
    <col min="1" max="1" width="70.81640625" bestFit="1" customWidth="1"/>
    <col min="2" max="2" width="13.36328125" customWidth="1"/>
    <col min="3" max="3" width="10.81640625" bestFit="1" customWidth="1"/>
    <col min="4" max="6" width="9.54296875" bestFit="1" customWidth="1"/>
    <col min="7" max="7" width="12.08984375" customWidth="1"/>
    <col min="8" max="8" width="14.08984375" customWidth="1"/>
    <col min="9" max="10" width="12" customWidth="1"/>
    <col min="11" max="11" width="19.08984375" customWidth="1"/>
    <col min="12" max="13" width="8.7265625" customWidth="1"/>
  </cols>
  <sheetData>
    <row r="1" spans="1:11" x14ac:dyDescent="0.35">
      <c r="B1" s="3">
        <v>2020</v>
      </c>
      <c r="C1" s="3">
        <v>2021</v>
      </c>
      <c r="D1" s="3">
        <v>2022</v>
      </c>
      <c r="E1" s="3">
        <v>2023</v>
      </c>
      <c r="F1" s="3">
        <v>2024</v>
      </c>
      <c r="G1" s="3">
        <v>2025</v>
      </c>
      <c r="H1" s="3">
        <v>2026</v>
      </c>
      <c r="I1" s="3">
        <v>2027</v>
      </c>
      <c r="J1" s="3">
        <v>2028</v>
      </c>
      <c r="K1" s="3">
        <v>2029</v>
      </c>
    </row>
    <row r="2" spans="1:11" x14ac:dyDescent="0.35">
      <c r="A2" t="s">
        <v>15</v>
      </c>
      <c r="B2" s="3"/>
      <c r="C2" s="3"/>
      <c r="D2" s="3"/>
      <c r="E2" s="3"/>
      <c r="F2" s="3"/>
      <c r="G2" s="3">
        <f>'profit and loss'!G16</f>
        <v>104540</v>
      </c>
      <c r="H2" s="3">
        <f>'profit and loss'!H16</f>
        <v>113537.85710947965</v>
      </c>
      <c r="I2" s="3">
        <f>'profit and loss'!I16</f>
        <v>97030.698096861088</v>
      </c>
      <c r="J2" s="3">
        <f>'profit and loss'!J16</f>
        <v>111759.64394088235</v>
      </c>
      <c r="K2" s="3">
        <f>'profit and loss'!K16</f>
        <v>568531.90194691729</v>
      </c>
    </row>
    <row r="3" spans="1:11" x14ac:dyDescent="0.35">
      <c r="A3" s="139" t="s">
        <v>577</v>
      </c>
      <c r="B3" s="140"/>
      <c r="C3" s="141"/>
      <c r="D3" s="2"/>
      <c r="E3" s="2"/>
      <c r="F3" s="2"/>
      <c r="G3" s="2"/>
      <c r="H3" s="2"/>
      <c r="I3" s="2"/>
      <c r="J3" s="2"/>
      <c r="K3" s="2"/>
    </row>
    <row r="4" spans="1:11" x14ac:dyDescent="0.35">
      <c r="A4" s="142" t="s">
        <v>578</v>
      </c>
      <c r="B4" s="143"/>
      <c r="C4" s="144"/>
      <c r="D4" s="2"/>
      <c r="E4" s="2"/>
      <c r="F4" s="2"/>
      <c r="G4" s="2"/>
      <c r="H4" s="2"/>
      <c r="I4" s="2"/>
      <c r="J4" s="2"/>
      <c r="K4" s="2"/>
    </row>
    <row r="5" spans="1:11" x14ac:dyDescent="0.35">
      <c r="A5" s="139" t="s">
        <v>579</v>
      </c>
      <c r="B5" s="140"/>
      <c r="C5" s="141"/>
      <c r="D5" s="2"/>
      <c r="E5" s="2"/>
      <c r="F5" s="2"/>
      <c r="G5" s="2"/>
      <c r="H5" s="2"/>
      <c r="I5" s="2"/>
      <c r="J5" s="2"/>
      <c r="K5" s="2"/>
    </row>
    <row r="6" spans="1:11" x14ac:dyDescent="0.35">
      <c r="A6" s="142" t="s">
        <v>580</v>
      </c>
      <c r="B6" s="143"/>
      <c r="C6" s="144"/>
      <c r="D6" s="2"/>
      <c r="E6" s="2"/>
      <c r="F6" s="2"/>
      <c r="G6" s="2"/>
      <c r="H6" s="2"/>
      <c r="I6" s="2"/>
      <c r="J6" s="2"/>
      <c r="K6" s="2"/>
    </row>
    <row r="7" spans="1:11" x14ac:dyDescent="0.35">
      <c r="A7" s="139" t="s">
        <v>581</v>
      </c>
      <c r="B7" s="140"/>
      <c r="C7" s="141"/>
      <c r="D7" s="2"/>
      <c r="E7" s="2"/>
      <c r="F7" s="2"/>
      <c r="G7" s="2">
        <f>-'profit and loss'!G5</f>
        <v>14837.5</v>
      </c>
      <c r="H7" s="2">
        <f>-'profit and loss'!H5</f>
        <v>14583.749707239038</v>
      </c>
      <c r="I7" s="2">
        <f>-'profit and loss'!I5</f>
        <v>17295.461988908937</v>
      </c>
      <c r="J7" s="2">
        <f>-'profit and loss'!J5</f>
        <v>19631.850789201799</v>
      </c>
      <c r="K7" s="2">
        <f>-'profit and loss'!K5</f>
        <v>22162.968780739197</v>
      </c>
    </row>
    <row r="8" spans="1:11" x14ac:dyDescent="0.35">
      <c r="A8" s="142" t="s">
        <v>582</v>
      </c>
      <c r="B8" s="143"/>
      <c r="C8" s="144"/>
      <c r="D8" s="2"/>
      <c r="E8" s="2"/>
      <c r="F8" s="2"/>
      <c r="G8" s="2">
        <v>0</v>
      </c>
      <c r="H8" s="2">
        <f>-'profit and loss'!H14</f>
        <v>0</v>
      </c>
      <c r="I8" s="2">
        <f>-'profit and loss'!I14</f>
        <v>0</v>
      </c>
      <c r="J8" s="2">
        <f>-'profit and loss'!J14</f>
        <v>0</v>
      </c>
      <c r="K8" s="2">
        <f>-'profit and loss'!K14</f>
        <v>0</v>
      </c>
    </row>
    <row r="9" spans="1:11" x14ac:dyDescent="0.35">
      <c r="A9" s="139" t="s">
        <v>583</v>
      </c>
      <c r="B9" s="140"/>
      <c r="C9" s="141"/>
      <c r="D9" s="2"/>
      <c r="E9" s="2"/>
      <c r="F9" s="2"/>
      <c r="G9" s="138"/>
      <c r="H9" s="138"/>
      <c r="I9" s="138"/>
      <c r="J9" s="138"/>
      <c r="K9" s="138"/>
    </row>
    <row r="10" spans="1:11" x14ac:dyDescent="0.35">
      <c r="A10" s="139" t="s">
        <v>584</v>
      </c>
      <c r="B10" s="140"/>
      <c r="C10" s="141"/>
      <c r="D10" s="2"/>
      <c r="E10" s="2"/>
      <c r="F10" s="2"/>
      <c r="G10" s="2"/>
      <c r="H10" s="2"/>
      <c r="I10" s="2"/>
      <c r="J10" s="2"/>
      <c r="K10" s="2"/>
    </row>
    <row r="11" spans="1:11" x14ac:dyDescent="0.35">
      <c r="A11" s="142" t="s">
        <v>585</v>
      </c>
      <c r="B11" s="143"/>
      <c r="C11" s="144"/>
      <c r="D11" s="2"/>
      <c r="E11" s="2"/>
      <c r="F11" s="2"/>
      <c r="G11" s="2">
        <f>'balance sheet'!F8-'balance sheet'!G8</f>
        <v>-3354.9221985534496</v>
      </c>
      <c r="H11" s="2">
        <f>'balance sheet'!G8-'balance sheet'!H8</f>
        <v>8732.7874400546061</v>
      </c>
      <c r="I11" s="2">
        <f>'balance sheet'!H8-'balance sheet'!I8</f>
        <v>-717.28815938257685</v>
      </c>
      <c r="J11" s="2">
        <f>'balance sheet'!I8-'balance sheet'!J8</f>
        <v>-548.33917410510912</v>
      </c>
      <c r="K11" s="2">
        <f>'balance sheet'!J8-'balance sheet'!K8</f>
        <v>-63233.61370593113</v>
      </c>
    </row>
    <row r="12" spans="1:11" x14ac:dyDescent="0.35">
      <c r="A12" s="139" t="s">
        <v>586</v>
      </c>
      <c r="B12" s="140"/>
      <c r="C12" s="141"/>
      <c r="D12" s="2"/>
      <c r="E12" s="2"/>
      <c r="F12" s="2"/>
      <c r="G12" s="2">
        <f>'balance sheet'!F9-'balance sheet'!G9</f>
        <v>-144.73476464951818</v>
      </c>
      <c r="H12" s="2">
        <f>'balance sheet'!G9-'balance sheet'!H9</f>
        <v>1348.2539715966641</v>
      </c>
      <c r="I12" s="2">
        <f>'balance sheet'!H9-'balance sheet'!I9</f>
        <v>-65.951202314285183</v>
      </c>
      <c r="J12" s="2">
        <f>'balance sheet'!I9-'balance sheet'!J9</f>
        <v>-267.39393777378064</v>
      </c>
      <c r="K12" s="2">
        <f>'balance sheet'!J9-'balance sheet'!K9</f>
        <v>-18963.714157491668</v>
      </c>
    </row>
    <row r="13" spans="1:11" x14ac:dyDescent="0.35">
      <c r="A13" s="142" t="s">
        <v>587</v>
      </c>
      <c r="B13" s="143"/>
      <c r="C13" s="144"/>
      <c r="D13" s="2"/>
      <c r="E13" s="2"/>
      <c r="F13" s="2"/>
      <c r="G13" s="2">
        <f>'balance sheet'!F10-'balance sheet'!G10</f>
        <v>-4026.5657271415948</v>
      </c>
      <c r="H13" s="138">
        <f>'balance sheet'!G10-'balance sheet'!H10</f>
        <v>-591.73789258433681</v>
      </c>
      <c r="I13" s="138">
        <f>'balance sheet'!H10-'balance sheet'!I10</f>
        <v>967.22380790414354</v>
      </c>
      <c r="J13" s="138">
        <f>'balance sheet'!I10-'balance sheet'!J10</f>
        <v>-1630.551093335087</v>
      </c>
      <c r="K13" s="2">
        <f>'balance sheet'!J10-'balance sheet'!K10</f>
        <v>-58362.058640236231</v>
      </c>
    </row>
    <row r="14" spans="1:11" x14ac:dyDescent="0.35">
      <c r="A14" s="139" t="s">
        <v>588</v>
      </c>
      <c r="B14" s="140"/>
      <c r="C14" s="141"/>
      <c r="D14" s="2"/>
      <c r="E14" s="2"/>
      <c r="F14" s="2"/>
      <c r="G14" s="2">
        <f>'balance sheet'!G43-'balance sheet'!F43</f>
        <v>3761.301406296443</v>
      </c>
      <c r="H14" s="2">
        <f>'balance sheet'!H43-'balance sheet'!G43</f>
        <v>-9790.5834279339906</v>
      </c>
      <c r="I14" s="2">
        <f>'balance sheet'!I43-'balance sheet'!H43</f>
        <v>804.17273573996863</v>
      </c>
      <c r="J14" s="2">
        <f>'balance sheet'!J43-'balance sheet'!I43</f>
        <v>614.75908668708871</v>
      </c>
      <c r="K14" s="2">
        <f>'balance sheet'!K43-'balance sheet'!J43</f>
        <v>70893.053871673968</v>
      </c>
    </row>
    <row r="15" spans="1:11" x14ac:dyDescent="0.35">
      <c r="A15" s="132" t="s">
        <v>89</v>
      </c>
      <c r="B15" s="133">
        <v>37967</v>
      </c>
      <c r="C15" s="133">
        <v>38703</v>
      </c>
      <c r="D15" s="134">
        <v>49657</v>
      </c>
      <c r="E15" s="135">
        <v>26398</v>
      </c>
      <c r="F15" s="135">
        <v>55438</v>
      </c>
      <c r="G15" s="132">
        <f>SUM(G2:G14)</f>
        <v>115612.57871595188</v>
      </c>
      <c r="H15" s="132">
        <f t="shared" ref="H15:K15" si="0">SUM(H2:H14)</f>
        <v>127820.3269078516</v>
      </c>
      <c r="I15" s="132">
        <f t="shared" si="0"/>
        <v>115314.31726771727</v>
      </c>
      <c r="J15" s="132">
        <f t="shared" si="0"/>
        <v>129559.96961155724</v>
      </c>
      <c r="K15" s="132">
        <f t="shared" si="0"/>
        <v>521028.53809567145</v>
      </c>
    </row>
    <row r="16" spans="1:11" x14ac:dyDescent="0.35">
      <c r="A16" s="132"/>
      <c r="B16" s="133"/>
      <c r="C16" s="133"/>
      <c r="D16" s="134"/>
      <c r="E16" s="135"/>
      <c r="F16" s="135"/>
      <c r="G16" s="132"/>
      <c r="H16" s="132"/>
      <c r="I16" s="132"/>
      <c r="J16" s="132"/>
      <c r="K16" s="132"/>
    </row>
    <row r="17" spans="1:11" x14ac:dyDescent="0.35">
      <c r="A17" s="2" t="s">
        <v>73</v>
      </c>
      <c r="B17" s="108">
        <v>56</v>
      </c>
      <c r="C17" s="108">
        <v>14</v>
      </c>
      <c r="D17" s="109">
        <v>17</v>
      </c>
      <c r="E17" s="110">
        <v>39</v>
      </c>
      <c r="F17" s="110">
        <v>26</v>
      </c>
      <c r="G17" s="2">
        <v>0</v>
      </c>
      <c r="H17" s="2"/>
      <c r="I17" s="2"/>
      <c r="J17" s="2"/>
      <c r="K17" s="2"/>
    </row>
    <row r="18" spans="1:11" x14ac:dyDescent="0.35">
      <c r="A18" s="2" t="s">
        <v>90</v>
      </c>
      <c r="B18" s="108">
        <v>-405</v>
      </c>
      <c r="C18" s="108">
        <v>-388</v>
      </c>
      <c r="D18" s="111">
        <v>-192</v>
      </c>
      <c r="E18" s="112">
        <v>-2462</v>
      </c>
      <c r="F18" s="112">
        <v>-2864</v>
      </c>
      <c r="G18" s="137">
        <f>-'profit and loss'!G70</f>
        <v>-992.04750000000001</v>
      </c>
      <c r="H18" s="137">
        <f>-'profit and loss'!H70</f>
        <v>-842.26949999999999</v>
      </c>
      <c r="I18" s="137">
        <f>-'profit and loss'!I70</f>
        <v>-692.84430000000009</v>
      </c>
      <c r="J18" s="137">
        <f>-'profit and loss'!J70</f>
        <v>-543.73662000000002</v>
      </c>
      <c r="K18" s="137">
        <f>-'profit and loss'!K70</f>
        <v>-394.91470800000002</v>
      </c>
    </row>
    <row r="19" spans="1:11" x14ac:dyDescent="0.35">
      <c r="A19" s="2" t="s">
        <v>74</v>
      </c>
      <c r="B19" s="108">
        <v>-6656</v>
      </c>
      <c r="C19" s="108">
        <v>-7426</v>
      </c>
      <c r="D19" s="109">
        <v>-6866</v>
      </c>
      <c r="E19" s="110">
        <v>-9206</v>
      </c>
      <c r="F19" s="110">
        <v>-10645</v>
      </c>
      <c r="G19" s="2">
        <f>'profit and loss'!G23</f>
        <v>-25886.988125</v>
      </c>
      <c r="H19" s="2">
        <f>'profit and loss'!H23</f>
        <v>-28173.896902369914</v>
      </c>
      <c r="I19" s="2">
        <f>'profit and loss'!I23</f>
        <v>-24084.463449215273</v>
      </c>
      <c r="J19" s="2">
        <f>'profit and loss'!J23</f>
        <v>-27803.976830220588</v>
      </c>
      <c r="K19" s="2">
        <f>'profit and loss'!K23</f>
        <v>-142034.24680972932</v>
      </c>
    </row>
    <row r="20" spans="1:11" x14ac:dyDescent="0.35">
      <c r="A20" s="54" t="s">
        <v>91</v>
      </c>
      <c r="B20" s="105">
        <v>30962</v>
      </c>
      <c r="C20" s="105">
        <v>30903</v>
      </c>
      <c r="D20" s="113">
        <v>42616</v>
      </c>
      <c r="E20" s="114">
        <v>14769</v>
      </c>
      <c r="F20" s="114">
        <v>41955</v>
      </c>
      <c r="G20" s="56">
        <f>SUM(G15:G19)</f>
        <v>88733.543090951876</v>
      </c>
      <c r="H20" s="56">
        <f>SUM(H15:H19)</f>
        <v>98804.16050548169</v>
      </c>
      <c r="I20" s="56">
        <f>SUM(I15:I19)</f>
        <v>90537.009518502004</v>
      </c>
      <c r="J20" s="56">
        <f>SUM(J15:J19)</f>
        <v>101212.25616133666</v>
      </c>
      <c r="K20" s="56">
        <f t="shared" ref="H20:K20" si="1">SUM(K15:K19)</f>
        <v>378599.37657794211</v>
      </c>
    </row>
    <row r="21" spans="1:11" x14ac:dyDescent="0.35">
      <c r="A21" s="54"/>
      <c r="B21" s="105"/>
      <c r="C21" s="105"/>
      <c r="D21" s="113"/>
      <c r="E21" s="114"/>
      <c r="F21" s="114"/>
      <c r="G21" s="54"/>
      <c r="H21" s="54"/>
      <c r="I21" s="54"/>
      <c r="J21" s="54"/>
      <c r="K21" s="1"/>
    </row>
    <row r="22" spans="1:11" x14ac:dyDescent="0.35">
      <c r="A22" s="2" t="s">
        <v>112</v>
      </c>
      <c r="B22" s="108">
        <v>-25081</v>
      </c>
      <c r="C22" s="108">
        <v>-32112</v>
      </c>
      <c r="D22" s="109">
        <v>-41495</v>
      </c>
      <c r="E22" s="110">
        <v>-28556</v>
      </c>
      <c r="F22" s="110">
        <v>-27477</v>
      </c>
      <c r="G22" s="138">
        <f>-'balance sheet'!G61</f>
        <v>-55389.073933890548</v>
      </c>
      <c r="H22" s="138">
        <f>-'balance sheet'!H61</f>
        <v>-57351.513528914547</v>
      </c>
      <c r="I22" s="138">
        <f>-'balance sheet'!I61</f>
        <v>-54143.812413829299</v>
      </c>
      <c r="J22" s="138">
        <f>-'balance sheet'!J61</f>
        <v>-59551.372192189076</v>
      </c>
      <c r="K22" s="138">
        <f>-'balance sheet'!K61</f>
        <v>-253103.30820647499</v>
      </c>
    </row>
    <row r="23" spans="1:11" x14ac:dyDescent="0.35">
      <c r="A23" s="2" t="s">
        <v>92</v>
      </c>
      <c r="B23" s="108">
        <v>-2759</v>
      </c>
      <c r="C23" s="108">
        <v>-5717</v>
      </c>
      <c r="D23" s="111">
        <v>-2596</v>
      </c>
      <c r="E23" s="112">
        <v>-1837</v>
      </c>
      <c r="F23" s="112">
        <v>-3835</v>
      </c>
      <c r="G23" s="138">
        <f>-'balance sheet'!G70</f>
        <v>-6162.824991971378</v>
      </c>
      <c r="H23" s="138">
        <f>-'balance sheet'!H70</f>
        <v>-6381.1744049961053</v>
      </c>
      <c r="I23" s="138">
        <f>-'balance sheet'!I70</f>
        <v>-6024.2718754030575</v>
      </c>
      <c r="J23" s="138">
        <f>-'balance sheet'!J70</f>
        <v>-6625.9400778256313</v>
      </c>
      <c r="K23" s="138">
        <f>-'balance sheet'!K70</f>
        <v>-28161.355346493598</v>
      </c>
    </row>
    <row r="24" spans="1:11" x14ac:dyDescent="0.35">
      <c r="A24" s="2" t="s">
        <v>109</v>
      </c>
      <c r="B24" s="108" t="s">
        <v>94</v>
      </c>
      <c r="C24" s="108">
        <v>500</v>
      </c>
      <c r="D24" s="109"/>
      <c r="E24" s="110"/>
      <c r="F24" s="110">
        <v>0</v>
      </c>
      <c r="G24" s="110">
        <f>-'balance sheet'!G11</f>
        <v>-18500</v>
      </c>
      <c r="H24" s="110">
        <f>-G24</f>
        <v>18500</v>
      </c>
      <c r="I24" s="110">
        <v>0</v>
      </c>
      <c r="J24" s="110">
        <v>0</v>
      </c>
      <c r="K24" s="110">
        <v>0</v>
      </c>
    </row>
    <row r="25" spans="1:11" x14ac:dyDescent="0.35">
      <c r="A25" s="2" t="s">
        <v>110</v>
      </c>
      <c r="B25" s="108">
        <v>-1058</v>
      </c>
      <c r="C25" s="108">
        <v>1066</v>
      </c>
      <c r="D25" s="111"/>
      <c r="E25" s="112"/>
      <c r="F25" s="110">
        <v>0</v>
      </c>
      <c r="G25" s="110">
        <v>0</v>
      </c>
      <c r="H25" s="110">
        <v>0</v>
      </c>
      <c r="I25" s="110">
        <v>0</v>
      </c>
      <c r="J25" s="110">
        <v>0</v>
      </c>
      <c r="K25" s="110">
        <v>0</v>
      </c>
    </row>
    <row r="26" spans="1:11" x14ac:dyDescent="0.35">
      <c r="A26" s="2" t="s">
        <v>111</v>
      </c>
      <c r="B26" s="108">
        <v>900</v>
      </c>
      <c r="C26" s="108">
        <v>340</v>
      </c>
      <c r="D26" s="109"/>
      <c r="E26" s="110"/>
      <c r="F26" s="110">
        <v>0</v>
      </c>
      <c r="G26" s="110">
        <v>0</v>
      </c>
      <c r="H26" s="110">
        <v>0</v>
      </c>
      <c r="I26" s="110">
        <v>0</v>
      </c>
      <c r="J26" s="108">
        <v>0</v>
      </c>
      <c r="K26" s="108">
        <v>0</v>
      </c>
    </row>
    <row r="27" spans="1:11" x14ac:dyDescent="0.35">
      <c r="A27" s="2" t="s">
        <v>93</v>
      </c>
      <c r="B27" s="108"/>
      <c r="C27" s="108"/>
      <c r="D27" s="111" t="s">
        <v>94</v>
      </c>
      <c r="E27" s="112">
        <v>178</v>
      </c>
      <c r="F27" s="110">
        <v>0</v>
      </c>
      <c r="G27" s="110">
        <v>0</v>
      </c>
      <c r="H27" s="110">
        <v>0</v>
      </c>
      <c r="I27" s="110">
        <v>0</v>
      </c>
      <c r="J27" s="2">
        <f>-'balance sheet'!J13</f>
        <v>-3150000.0000000163</v>
      </c>
      <c r="K27" s="2">
        <v>0</v>
      </c>
    </row>
    <row r="28" spans="1:11" x14ac:dyDescent="0.35">
      <c r="A28" s="2" t="s">
        <v>95</v>
      </c>
      <c r="B28" s="108"/>
      <c r="C28" s="108"/>
      <c r="D28" s="109">
        <v>-478</v>
      </c>
      <c r="E28" s="110">
        <v>-946</v>
      </c>
      <c r="F28" s="110">
        <v>-743</v>
      </c>
      <c r="G28" s="108">
        <v>0</v>
      </c>
      <c r="H28" s="108">
        <v>0</v>
      </c>
      <c r="I28" s="108">
        <v>0</v>
      </c>
      <c r="J28" s="108">
        <v>0</v>
      </c>
      <c r="K28" s="108">
        <v>0</v>
      </c>
    </row>
    <row r="29" spans="1:11" x14ac:dyDescent="0.35">
      <c r="A29" s="2" t="s">
        <v>75</v>
      </c>
      <c r="B29" s="108"/>
      <c r="C29" s="108"/>
      <c r="D29" s="111">
        <v>416</v>
      </c>
      <c r="E29" s="112" t="s">
        <v>94</v>
      </c>
      <c r="F29" s="112" t="s">
        <v>94</v>
      </c>
      <c r="G29" s="108">
        <v>0</v>
      </c>
      <c r="H29" s="108">
        <v>0</v>
      </c>
      <c r="I29" s="108">
        <v>0</v>
      </c>
      <c r="J29" s="108">
        <v>0</v>
      </c>
      <c r="K29" s="108">
        <v>0</v>
      </c>
    </row>
    <row r="30" spans="1:11" x14ac:dyDescent="0.35">
      <c r="A30" s="2" t="s">
        <v>96</v>
      </c>
      <c r="B30" s="108"/>
      <c r="C30" s="108"/>
      <c r="D30" s="109">
        <v>-176</v>
      </c>
      <c r="E30" s="110" t="s">
        <v>94</v>
      </c>
      <c r="F30" s="110" t="s">
        <v>94</v>
      </c>
      <c r="G30" s="108">
        <v>0</v>
      </c>
      <c r="H30" s="108">
        <v>0</v>
      </c>
      <c r="I30" s="108">
        <v>0</v>
      </c>
      <c r="J30" s="108">
        <v>0</v>
      </c>
      <c r="K30" s="108">
        <v>0</v>
      </c>
    </row>
    <row r="31" spans="1:11" x14ac:dyDescent="0.35">
      <c r="A31" s="3" t="s">
        <v>97</v>
      </c>
      <c r="B31" s="106">
        <v>-27998</v>
      </c>
      <c r="C31" s="106">
        <v>-35923</v>
      </c>
      <c r="D31" s="115">
        <v>-44329</v>
      </c>
      <c r="E31" s="116">
        <v>-31161</v>
      </c>
      <c r="F31" s="116">
        <v>-32055</v>
      </c>
      <c r="G31" s="104">
        <f>SUM(G22:G30)</f>
        <v>-80051.898925861926</v>
      </c>
      <c r="H31" s="104">
        <f>SUM(H22:H30)</f>
        <v>-45232.687933910653</v>
      </c>
      <c r="I31" s="104">
        <f>SUM(I22:I30)</f>
        <v>-60168.084289232356</v>
      </c>
      <c r="J31" s="104">
        <f>SUM(J22:J30)</f>
        <v>-3216177.3122700308</v>
      </c>
      <c r="K31" s="104">
        <f t="shared" ref="H31:K31" si="2">SUM(K22:K30)</f>
        <v>-281264.66355296859</v>
      </c>
    </row>
    <row r="32" spans="1:11" x14ac:dyDescent="0.35">
      <c r="A32" s="3"/>
      <c r="B32" s="106"/>
      <c r="C32" s="106"/>
      <c r="D32" s="115"/>
      <c r="E32" s="116"/>
      <c r="F32" s="116"/>
      <c r="G32" s="1"/>
      <c r="H32" s="1"/>
      <c r="I32" s="1"/>
      <c r="J32" s="1"/>
      <c r="K32" s="1"/>
    </row>
    <row r="33" spans="1:14" x14ac:dyDescent="0.35">
      <c r="A33" s="2" t="s">
        <v>98</v>
      </c>
      <c r="B33" s="108">
        <v>-4542</v>
      </c>
      <c r="C33" s="108">
        <v>-8069</v>
      </c>
      <c r="D33" s="109">
        <v>-8906</v>
      </c>
      <c r="E33" s="110">
        <v>-11099</v>
      </c>
      <c r="F33" s="110">
        <v>-12302</v>
      </c>
      <c r="G33" s="138">
        <f>-'balance sheet'!G149</f>
        <v>0</v>
      </c>
      <c r="H33" s="138">
        <f>-'balance sheet'!H149</f>
        <v>0</v>
      </c>
      <c r="I33" s="138">
        <f>-'balance sheet'!I149</f>
        <v>0</v>
      </c>
      <c r="J33" s="138">
        <f>-'balance sheet'!J149</f>
        <v>0</v>
      </c>
      <c r="K33" s="138">
        <f>-'balance sheet'!K149</f>
        <v>0</v>
      </c>
    </row>
    <row r="34" spans="1:14" x14ac:dyDescent="0.35">
      <c r="A34" s="2" t="s">
        <v>76</v>
      </c>
      <c r="B34" s="108">
        <v>-118</v>
      </c>
      <c r="C34" s="108">
        <v>-129</v>
      </c>
      <c r="D34" s="111">
        <v>-150</v>
      </c>
      <c r="E34" s="112">
        <v>-184</v>
      </c>
      <c r="F34" s="112">
        <v>-182</v>
      </c>
      <c r="G34" s="2">
        <f>-'balance sheet'!G128</f>
        <v>-29.400000000000002</v>
      </c>
      <c r="H34" s="2">
        <f>-'balance sheet'!H128</f>
        <v>-26.460000000000004</v>
      </c>
      <c r="I34" s="2">
        <f>-'balance sheet'!I128</f>
        <v>-23.814000000000004</v>
      </c>
      <c r="J34" s="2">
        <f>-'balance sheet'!J128</f>
        <v>-21.432600000000004</v>
      </c>
      <c r="K34" s="2">
        <f>-'balance sheet'!K128</f>
        <v>-19.289340000000003</v>
      </c>
    </row>
    <row r="35" spans="1:14" x14ac:dyDescent="0.35">
      <c r="A35" s="2" t="s">
        <v>99</v>
      </c>
      <c r="B35" s="110">
        <v>12538</v>
      </c>
      <c r="C35" s="110">
        <v>7806</v>
      </c>
      <c r="D35" s="109" t="s">
        <v>94</v>
      </c>
      <c r="E35" s="110">
        <v>15569</v>
      </c>
      <c r="F35" s="110" t="s">
        <v>94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</row>
    <row r="36" spans="1:14" x14ac:dyDescent="0.35">
      <c r="A36" s="2" t="s">
        <v>100</v>
      </c>
      <c r="B36" s="108" t="s">
        <v>94</v>
      </c>
      <c r="C36" s="108" t="s">
        <v>94</v>
      </c>
      <c r="D36" s="111" t="s">
        <v>94</v>
      </c>
      <c r="E36" s="112" t="s">
        <v>94</v>
      </c>
      <c r="F36" s="112">
        <v>3000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</row>
    <row r="37" spans="1:14" x14ac:dyDescent="0.35">
      <c r="A37" s="2" t="s">
        <v>101</v>
      </c>
      <c r="B37" s="108">
        <v>-574</v>
      </c>
      <c r="C37" s="108">
        <v>-361</v>
      </c>
      <c r="D37" s="109" t="s">
        <v>94</v>
      </c>
      <c r="E37" s="110" t="s">
        <v>94</v>
      </c>
      <c r="F37" s="110">
        <v>-326</v>
      </c>
      <c r="G37" s="138">
        <f>'balance sheet'!G92</f>
        <v>-1500</v>
      </c>
      <c r="H37" s="138">
        <f>'balance sheet'!H92</f>
        <v>-1500</v>
      </c>
      <c r="I37" s="138">
        <f>'balance sheet'!I92</f>
        <v>-1500</v>
      </c>
      <c r="J37" s="138">
        <f>'balance sheet'!J92</f>
        <v>-1500</v>
      </c>
      <c r="K37" s="138">
        <f>'balance sheet'!K92</f>
        <v>-1500</v>
      </c>
    </row>
    <row r="38" spans="1:14" x14ac:dyDescent="0.35">
      <c r="A38" s="2" t="s">
        <v>102</v>
      </c>
      <c r="B38" s="108"/>
      <c r="C38" s="108"/>
      <c r="D38" s="111" t="s">
        <v>94</v>
      </c>
      <c r="E38" s="112">
        <v>-7250</v>
      </c>
      <c r="F38" s="112" t="s">
        <v>94</v>
      </c>
      <c r="G38">
        <v>0</v>
      </c>
      <c r="H38">
        <v>0</v>
      </c>
      <c r="I38">
        <v>0</v>
      </c>
      <c r="J38">
        <v>0</v>
      </c>
      <c r="K38">
        <v>0</v>
      </c>
    </row>
    <row r="39" spans="1:14" x14ac:dyDescent="0.35">
      <c r="A39" s="2" t="s">
        <v>103</v>
      </c>
      <c r="B39" s="108"/>
      <c r="C39" s="108"/>
      <c r="D39" s="109" t="s">
        <v>94</v>
      </c>
      <c r="E39" s="110">
        <v>6895</v>
      </c>
      <c r="F39" s="110">
        <v>1970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</row>
    <row r="40" spans="1:14" x14ac:dyDescent="0.35">
      <c r="A40" s="2" t="s">
        <v>77</v>
      </c>
      <c r="B40" s="108"/>
      <c r="C40" s="108"/>
      <c r="D40" s="111">
        <v>-3698</v>
      </c>
      <c r="E40" s="112" t="s">
        <v>94</v>
      </c>
      <c r="F40" s="112" t="s">
        <v>94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N40" s="2"/>
    </row>
    <row r="41" spans="1:14" x14ac:dyDescent="0.35">
      <c r="A41" s="2" t="s">
        <v>590</v>
      </c>
      <c r="B41" s="112">
        <v>30</v>
      </c>
      <c r="C41" s="112">
        <v>165</v>
      </c>
      <c r="D41" s="109" t="s">
        <v>94</v>
      </c>
      <c r="E41" s="110" t="s">
        <v>94</v>
      </c>
      <c r="F41" s="110">
        <v>37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</row>
    <row r="42" spans="1:14" x14ac:dyDescent="0.35">
      <c r="A42" s="2" t="s">
        <v>591</v>
      </c>
      <c r="B42" s="108"/>
      <c r="C42" s="108"/>
      <c r="D42" s="109"/>
      <c r="E42" s="110"/>
      <c r="F42" s="110"/>
      <c r="G42" s="162">
        <v>0</v>
      </c>
      <c r="H42" s="2"/>
      <c r="I42" s="2"/>
      <c r="J42" s="2"/>
      <c r="K42" s="2"/>
    </row>
    <row r="43" spans="1:14" x14ac:dyDescent="0.35">
      <c r="B43" s="108" t="s">
        <v>94</v>
      </c>
      <c r="C43" s="108">
        <v>2752</v>
      </c>
      <c r="D43" s="111"/>
      <c r="E43" s="112"/>
      <c r="F43" s="112"/>
      <c r="G43" s="137">
        <f>-'balance sheet'!G117</f>
        <v>8320</v>
      </c>
      <c r="H43" s="137">
        <f>-'balance sheet'!H117</f>
        <v>-7000</v>
      </c>
      <c r="I43" s="137">
        <f>-'balance sheet'!I117</f>
        <v>-2000</v>
      </c>
      <c r="J43" s="137">
        <f>-'balance sheet'!J117</f>
        <v>-175</v>
      </c>
      <c r="K43" s="137">
        <f>-'balance sheet'!K117</f>
        <v>0</v>
      </c>
    </row>
    <row r="44" spans="1:14" x14ac:dyDescent="0.35">
      <c r="A44" s="3" t="s">
        <v>104</v>
      </c>
      <c r="B44" s="107">
        <v>7334</v>
      </c>
      <c r="C44" s="107">
        <v>2372</v>
      </c>
      <c r="D44" s="115">
        <v>-12754</v>
      </c>
      <c r="E44" s="116">
        <v>3931</v>
      </c>
      <c r="F44" s="116">
        <v>-7803</v>
      </c>
      <c r="G44" s="104">
        <f>SUM(G33:G43)</f>
        <v>6790.6</v>
      </c>
      <c r="H44" s="104">
        <f t="shared" ref="H44:K44" si="3">SUM(H33:H43)</f>
        <v>-8526.4599999999991</v>
      </c>
      <c r="I44" s="104">
        <f>SUM(I33:I43)</f>
        <v>-3523.8140000000003</v>
      </c>
      <c r="J44" s="104">
        <f>SUM(J33:J43)</f>
        <v>-1696.4326000000001</v>
      </c>
      <c r="K44" s="104">
        <f>SUM(K33:K43)</f>
        <v>-1519.28934</v>
      </c>
    </row>
    <row r="45" spans="1:14" x14ac:dyDescent="0.35">
      <c r="A45" s="3"/>
      <c r="B45" s="107"/>
      <c r="C45" s="107"/>
      <c r="D45" s="115"/>
      <c r="E45" s="116"/>
      <c r="F45" s="116"/>
      <c r="G45" s="1"/>
      <c r="H45" s="1"/>
      <c r="I45" s="1"/>
      <c r="J45" s="1"/>
      <c r="K45" s="1"/>
    </row>
    <row r="46" spans="1:14" x14ac:dyDescent="0.35">
      <c r="A46" s="2" t="s">
        <v>105</v>
      </c>
      <c r="B46" s="112">
        <v>10298</v>
      </c>
      <c r="C46" s="112">
        <v>-2648</v>
      </c>
      <c r="D46" s="109">
        <v>-14467</v>
      </c>
      <c r="E46" s="110">
        <v>-12461</v>
      </c>
      <c r="F46" s="110">
        <v>2097</v>
      </c>
      <c r="G46" s="137">
        <f>G44+G31+G20</f>
        <v>15472.244165089956</v>
      </c>
      <c r="H46" s="137">
        <f t="shared" ref="H46:K46" si="4">H44+H31+H20</f>
        <v>45045.012571571038</v>
      </c>
      <c r="I46" s="137">
        <f t="shared" si="4"/>
        <v>26845.111229269649</v>
      </c>
      <c r="J46" s="137">
        <f t="shared" si="4"/>
        <v>-3116661.488708694</v>
      </c>
      <c r="K46" s="137">
        <f t="shared" si="4"/>
        <v>95815.423684973503</v>
      </c>
    </row>
    <row r="47" spans="1:14" x14ac:dyDescent="0.35">
      <c r="A47" s="2" t="s">
        <v>106</v>
      </c>
      <c r="B47" s="110">
        <v>-99</v>
      </c>
      <c r="C47" s="110">
        <v>-179</v>
      </c>
      <c r="D47" s="111">
        <v>-302</v>
      </c>
      <c r="E47" s="112">
        <v>-67</v>
      </c>
      <c r="F47" s="112">
        <v>267</v>
      </c>
      <c r="G47" s="2"/>
      <c r="H47" s="2"/>
      <c r="I47" s="2"/>
      <c r="J47" s="2"/>
      <c r="K47" s="2"/>
    </row>
    <row r="48" spans="1:14" x14ac:dyDescent="0.35">
      <c r="A48" s="2" t="s">
        <v>107</v>
      </c>
      <c r="B48" s="112">
        <v>8893</v>
      </c>
      <c r="C48" s="112">
        <v>19092</v>
      </c>
      <c r="D48" s="109">
        <v>16265</v>
      </c>
      <c r="E48" s="110">
        <v>1496</v>
      </c>
      <c r="F48" s="110">
        <v>-11032</v>
      </c>
      <c r="G48" s="2">
        <f>F49</f>
        <v>-8668</v>
      </c>
      <c r="H48" s="2">
        <f t="shared" ref="H48:K48" si="5">G49</f>
        <v>6804.2441650899564</v>
      </c>
      <c r="I48" s="2">
        <f t="shared" si="5"/>
        <v>51849.256736660995</v>
      </c>
      <c r="J48" s="2">
        <f t="shared" si="5"/>
        <v>78694.367965930636</v>
      </c>
      <c r="K48" s="2">
        <f t="shared" si="5"/>
        <v>-3037967.1207427634</v>
      </c>
    </row>
    <row r="49" spans="1:18" x14ac:dyDescent="0.35">
      <c r="A49" s="2" t="s">
        <v>108</v>
      </c>
      <c r="B49" s="110">
        <v>19092</v>
      </c>
      <c r="C49" s="110">
        <v>16265</v>
      </c>
      <c r="D49" s="111">
        <v>1496</v>
      </c>
      <c r="E49" s="112">
        <v>-11032</v>
      </c>
      <c r="F49" s="112">
        <v>-8668</v>
      </c>
      <c r="G49" s="137">
        <f>G46+G48</f>
        <v>6804.2441650899564</v>
      </c>
      <c r="H49" s="137">
        <f>H46+H48</f>
        <v>51849.256736660995</v>
      </c>
      <c r="I49" s="137">
        <f>I46+I48</f>
        <v>78694.367965930636</v>
      </c>
      <c r="J49" s="137">
        <f>J46+J48</f>
        <v>-3037967.1207427634</v>
      </c>
      <c r="K49" s="137">
        <f t="shared" ref="H49:K49" si="6">K46+K48</f>
        <v>-2942151.6970577901</v>
      </c>
    </row>
    <row r="50" spans="1:18" x14ac:dyDescent="0.35">
      <c r="B50" s="21"/>
      <c r="C50" s="21"/>
      <c r="D50" s="21"/>
      <c r="E50" s="21"/>
      <c r="F50" s="21"/>
    </row>
    <row r="51" spans="1:18" ht="18.5" x14ac:dyDescent="0.45">
      <c r="B51" s="21"/>
      <c r="C51" s="21"/>
      <c r="D51" s="21"/>
      <c r="E51" s="21"/>
      <c r="F51" s="21"/>
      <c r="I51" s="145">
        <v>0</v>
      </c>
    </row>
    <row r="52" spans="1:18" x14ac:dyDescent="0.35">
      <c r="B52" s="21"/>
      <c r="C52" s="21"/>
      <c r="D52" s="21"/>
      <c r="E52" s="21"/>
      <c r="F52" s="21"/>
    </row>
    <row r="53" spans="1:18" x14ac:dyDescent="0.35">
      <c r="A53" s="54" t="s">
        <v>554</v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</row>
    <row r="54" spans="1:18" x14ac:dyDescent="0.35">
      <c r="A54" s="16" t="s">
        <v>555</v>
      </c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"/>
      <c r="P54" s="1"/>
      <c r="Q54" s="1"/>
      <c r="R54" s="1"/>
    </row>
    <row r="55" spans="1:18" x14ac:dyDescent="0.35">
      <c r="A55" s="124" t="s">
        <v>556</v>
      </c>
      <c r="B55" s="118">
        <f>B22/B31</f>
        <v>0.89581398671333667</v>
      </c>
      <c r="C55" s="125">
        <f>C22/C31</f>
        <v>0.89391197839824066</v>
      </c>
      <c r="D55" s="118">
        <f t="shared" ref="D55:F55" si="7">D22/D31</f>
        <v>0.93606893906923239</v>
      </c>
      <c r="E55" s="118">
        <f t="shared" si="7"/>
        <v>0.91640191264721926</v>
      </c>
      <c r="F55" s="118">
        <f t="shared" si="7"/>
        <v>0.85718296677585404</v>
      </c>
      <c r="G55" s="119">
        <f>AVERAGE(B55:F55)</f>
        <v>0.89987595672077669</v>
      </c>
      <c r="H55" s="2"/>
      <c r="I55" s="2"/>
      <c r="J55" s="2"/>
      <c r="K55" s="2"/>
      <c r="L55" s="2"/>
      <c r="M55" s="2"/>
      <c r="N55" s="2"/>
      <c r="O55" s="16"/>
      <c r="P55" s="16"/>
      <c r="Q55" s="16"/>
      <c r="R55" s="16"/>
    </row>
    <row r="56" spans="1:18" x14ac:dyDescent="0.35">
      <c r="A56" s="124" t="s">
        <v>557</v>
      </c>
      <c r="B56" s="118">
        <f>B23/B31</f>
        <v>9.8542753053789553E-2</v>
      </c>
      <c r="C56" s="125">
        <f t="shared" ref="C56:F56" si="8">C23/C31</f>
        <v>0.1591459510619937</v>
      </c>
      <c r="D56" s="118">
        <f t="shared" si="8"/>
        <v>5.8562115093956549E-2</v>
      </c>
      <c r="E56" s="118">
        <f t="shared" si="8"/>
        <v>5.8951894996951318E-2</v>
      </c>
      <c r="F56" s="118">
        <f t="shared" si="8"/>
        <v>0.11963812197785056</v>
      </c>
      <c r="G56" s="119">
        <f>AVERAGE(B56:F56)</f>
        <v>9.8968167236908336E-2</v>
      </c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</row>
    <row r="57" spans="1:18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</row>
    <row r="58" spans="1:18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</row>
    <row r="59" spans="1:18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</row>
    <row r="60" spans="1:18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</row>
    <row r="61" spans="1:18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</row>
    <row r="62" spans="1:18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</row>
    <row r="63" spans="1:18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</row>
    <row r="64" spans="1:18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</row>
    <row r="65" spans="1:18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</row>
    <row r="66" spans="1:18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</row>
    <row r="67" spans="1:18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</row>
    <row r="68" spans="1:18" x14ac:dyDescent="0.35">
      <c r="O68" s="2"/>
      <c r="P68" s="2"/>
      <c r="Q68" s="2"/>
      <c r="R68" s="2"/>
    </row>
  </sheetData>
  <phoneticPr fontId="9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63"/>
  <sheetViews>
    <sheetView tabSelected="1" zoomScale="65" zoomScaleNormal="55" workbookViewId="0">
      <pane ySplit="1" topLeftCell="A2" activePane="bottomLeft" state="frozen"/>
      <selection pane="bottomLeft" activeCell="L20" sqref="L20"/>
    </sheetView>
  </sheetViews>
  <sheetFormatPr defaultRowHeight="14.5" x14ac:dyDescent="0.35"/>
  <cols>
    <col min="1" max="1" width="51.54296875" customWidth="1"/>
    <col min="2" max="2" width="25.453125" style="7" customWidth="1"/>
    <col min="3" max="3" width="12.54296875" bestFit="1" customWidth="1"/>
    <col min="4" max="5" width="15.6328125" customWidth="1"/>
    <col min="6" max="7" width="15.6328125" style="4" customWidth="1"/>
    <col min="8" max="11" width="15.6328125" customWidth="1"/>
    <col min="12" max="12" width="14" customWidth="1"/>
  </cols>
  <sheetData>
    <row r="1" spans="1:12" x14ac:dyDescent="0.35">
      <c r="A1" s="11" t="s">
        <v>0</v>
      </c>
      <c r="B1" s="11" t="s">
        <v>3</v>
      </c>
      <c r="C1" s="11" t="s">
        <v>2</v>
      </c>
      <c r="D1" s="11" t="s">
        <v>1</v>
      </c>
      <c r="E1" s="11">
        <v>2023</v>
      </c>
      <c r="F1" s="11">
        <v>2024</v>
      </c>
      <c r="G1" s="14">
        <v>2025</v>
      </c>
      <c r="H1">
        <v>2026</v>
      </c>
      <c r="I1" s="12">
        <v>2027</v>
      </c>
      <c r="J1" s="12">
        <v>2028</v>
      </c>
      <c r="K1" s="12">
        <v>2029</v>
      </c>
      <c r="L1" s="12">
        <v>2030</v>
      </c>
    </row>
    <row r="2" spans="1:12" x14ac:dyDescent="0.35">
      <c r="A2" s="27" t="s">
        <v>4</v>
      </c>
      <c r="B2" s="27">
        <v>100002</v>
      </c>
      <c r="C2" s="27">
        <v>121329</v>
      </c>
      <c r="D2" s="27">
        <v>142082</v>
      </c>
      <c r="E2" s="27">
        <v>146314</v>
      </c>
      <c r="F2" s="27">
        <v>183018</v>
      </c>
      <c r="G2" s="28">
        <v>241158.75</v>
      </c>
      <c r="H2" s="27">
        <f>H50</f>
        <v>249703.02500000002</v>
      </c>
      <c r="I2" s="27">
        <f>I50</f>
        <v>235737</v>
      </c>
      <c r="J2" s="27">
        <f>J50</f>
        <v>259281.00000000003</v>
      </c>
      <c r="K2" s="27">
        <f>K46*K48+K47*K48</f>
        <v>1101987.6862500003</v>
      </c>
      <c r="L2" s="7">
        <f>L50</f>
        <v>0</v>
      </c>
    </row>
    <row r="3" spans="1:12" x14ac:dyDescent="0.35">
      <c r="A3" s="27" t="s">
        <v>5</v>
      </c>
      <c r="B3" s="27">
        <v>-5007</v>
      </c>
      <c r="C3" s="27">
        <v>-6083</v>
      </c>
      <c r="D3" s="27">
        <v>-7124</v>
      </c>
      <c r="E3" s="27">
        <v>-7637</v>
      </c>
      <c r="F3" s="27">
        <v>-9263</v>
      </c>
      <c r="G3" s="28">
        <v>-12206.25</v>
      </c>
      <c r="H3" s="27">
        <f>-H50*H55</f>
        <v>-24970.302500000005</v>
      </c>
      <c r="I3" s="27">
        <f t="shared" ref="I3:J3" si="0">-I50*I55</f>
        <v>-23573.7</v>
      </c>
      <c r="J3" s="27">
        <f t="shared" si="0"/>
        <v>-25928.100000000006</v>
      </c>
      <c r="K3" s="27">
        <f>-K55*K2</f>
        <v>-110198.76862500003</v>
      </c>
      <c r="L3" s="7"/>
    </row>
    <row r="4" spans="1:12" x14ac:dyDescent="0.35">
      <c r="A4" s="27" t="s">
        <v>6</v>
      </c>
      <c r="B4" s="27">
        <v>-43711</v>
      </c>
      <c r="C4" s="27">
        <v>-53126</v>
      </c>
      <c r="D4" s="27">
        <v>-62998</v>
      </c>
      <c r="E4" s="27">
        <v>-82709</v>
      </c>
      <c r="F4" s="27">
        <v>-80744</v>
      </c>
      <c r="G4" s="28">
        <v>-92141.25</v>
      </c>
      <c r="H4" s="27">
        <f>-H46*H53/1000</f>
        <v>-62474.463183281332</v>
      </c>
      <c r="I4" s="27">
        <f t="shared" ref="I4:J4" si="1">-I46*I53/1000</f>
        <v>-64911.21491422996</v>
      </c>
      <c r="J4" s="27">
        <f t="shared" si="1"/>
        <v>-66774.017769915867</v>
      </c>
      <c r="K4" s="27">
        <f>-(K46*K53+K52*K47)/1000</f>
        <v>-281589.52202234365</v>
      </c>
      <c r="L4" s="7"/>
    </row>
    <row r="5" spans="1:12" x14ac:dyDescent="0.35">
      <c r="A5" s="27" t="s">
        <v>7</v>
      </c>
      <c r="B5" s="27">
        <v>-4628</v>
      </c>
      <c r="C5" s="27">
        <v>-8046</v>
      </c>
      <c r="D5" s="27">
        <v>-10141</v>
      </c>
      <c r="E5" s="27">
        <v>-14486</v>
      </c>
      <c r="F5" s="27">
        <v>-16021</v>
      </c>
      <c r="G5" s="28">
        <v>-14837.5</v>
      </c>
      <c r="H5" s="27">
        <f>'balance sheet'!H62</f>
        <v>-14583.749707239038</v>
      </c>
      <c r="I5" s="27">
        <f>'balance sheet'!I62</f>
        <v>-17295.461988908937</v>
      </c>
      <c r="J5" s="27">
        <f>'balance sheet'!J62</f>
        <v>-19631.850789201799</v>
      </c>
      <c r="K5" s="27">
        <f>'balance sheet'!K62</f>
        <v>-22162.968780739197</v>
      </c>
      <c r="L5" s="7"/>
    </row>
    <row r="6" spans="1:12" x14ac:dyDescent="0.35">
      <c r="A6" s="25" t="s">
        <v>8</v>
      </c>
      <c r="B6" s="25">
        <v>46656</v>
      </c>
      <c r="C6" s="25">
        <v>54074</v>
      </c>
      <c r="D6" s="25">
        <v>61819</v>
      </c>
      <c r="E6" s="25">
        <v>41482</v>
      </c>
      <c r="F6" s="25">
        <v>76990</v>
      </c>
      <c r="G6" s="25">
        <f>SUM(G2:G5)</f>
        <v>121973.75</v>
      </c>
      <c r="H6" s="25">
        <f>SUM(H2:H5)</f>
        <v>147674.50960947966</v>
      </c>
      <c r="I6" s="25">
        <f t="shared" ref="I6:K6" si="2">SUM(I2:I5)</f>
        <v>129956.62309686109</v>
      </c>
      <c r="J6" s="25">
        <f t="shared" si="2"/>
        <v>146947.03144088236</v>
      </c>
      <c r="K6" s="25">
        <f t="shared" si="2"/>
        <v>688036.4268219173</v>
      </c>
      <c r="L6" s="7"/>
    </row>
    <row r="7" spans="1:12" x14ac:dyDescent="0.35">
      <c r="A7" s="25"/>
      <c r="B7" s="25"/>
      <c r="C7" s="25"/>
      <c r="D7" s="25"/>
      <c r="E7" s="25"/>
      <c r="F7" s="25"/>
      <c r="G7" s="26"/>
      <c r="H7" s="25"/>
      <c r="I7" s="25"/>
      <c r="J7" s="25"/>
      <c r="K7" s="25"/>
      <c r="L7" s="7"/>
    </row>
    <row r="8" spans="1:12" x14ac:dyDescent="0.35">
      <c r="A8" s="27" t="s">
        <v>9</v>
      </c>
      <c r="B8" s="27">
        <v>4765</v>
      </c>
      <c r="C8" s="27">
        <v>46</v>
      </c>
      <c r="D8" s="27">
        <v>60</v>
      </c>
      <c r="E8" s="27">
        <v>263</v>
      </c>
      <c r="F8" s="27">
        <v>1090</v>
      </c>
      <c r="G8" s="28">
        <v>277.5</v>
      </c>
      <c r="H8" s="27"/>
      <c r="I8" s="27"/>
      <c r="J8" s="27"/>
      <c r="K8" s="27"/>
      <c r="L8" s="7"/>
    </row>
    <row r="9" spans="1:12" x14ac:dyDescent="0.35">
      <c r="A9" s="27" t="s">
        <v>10</v>
      </c>
      <c r="B9" s="27">
        <v>-5315</v>
      </c>
      <c r="C9" s="27">
        <v>-7136</v>
      </c>
      <c r="D9" s="27">
        <v>-11782</v>
      </c>
      <c r="E9" s="27">
        <v>-4367</v>
      </c>
      <c r="F9" s="27">
        <v>-6940</v>
      </c>
      <c r="G9" s="28">
        <v>-3786.25</v>
      </c>
      <c r="H9" s="27">
        <f>AVERAGE(B9:F9)</f>
        <v>-7108</v>
      </c>
      <c r="I9" s="27">
        <f>H9</f>
        <v>-7108</v>
      </c>
      <c r="J9" s="27">
        <f t="shared" ref="J9:K9" si="3">I9</f>
        <v>-7108</v>
      </c>
      <c r="K9" s="27">
        <f t="shared" si="3"/>
        <v>-7108</v>
      </c>
      <c r="L9" s="7"/>
    </row>
    <row r="10" spans="1:12" x14ac:dyDescent="0.35">
      <c r="A10" s="27" t="s">
        <v>11</v>
      </c>
      <c r="B10" s="27">
        <v>-7997</v>
      </c>
      <c r="C10" s="27">
        <v>-9091</v>
      </c>
      <c r="D10" s="27">
        <v>-11941</v>
      </c>
      <c r="E10" s="27">
        <v>-17429</v>
      </c>
      <c r="F10" s="27">
        <v>-15658</v>
      </c>
      <c r="G10" s="28">
        <v>-16567.5</v>
      </c>
      <c r="H10" s="27">
        <f>-H2*H55</f>
        <v>-24970.302500000005</v>
      </c>
      <c r="I10" s="27">
        <f>-I2*I55</f>
        <v>-23573.7</v>
      </c>
      <c r="J10" s="27">
        <f>-J2*J55</f>
        <v>-25928.100000000006</v>
      </c>
      <c r="K10" s="27">
        <f>-K2*K55</f>
        <v>-110198.76862500003</v>
      </c>
      <c r="L10" s="7"/>
    </row>
    <row r="11" spans="1:12" x14ac:dyDescent="0.35">
      <c r="A11" s="27" t="s">
        <v>12</v>
      </c>
      <c r="B11" s="27">
        <v>-1413</v>
      </c>
      <c r="C11" s="27">
        <v>-477</v>
      </c>
      <c r="D11" s="27">
        <v>-609</v>
      </c>
      <c r="E11" s="27">
        <v>-463</v>
      </c>
      <c r="F11" s="27">
        <v>-201</v>
      </c>
      <c r="G11" s="28">
        <v>-558.75</v>
      </c>
      <c r="H11" s="27">
        <f>H57</f>
        <v>-632.6</v>
      </c>
      <c r="I11" s="27">
        <f>I57</f>
        <v>-632.6</v>
      </c>
      <c r="J11" s="27">
        <f>J57</f>
        <v>-632.6</v>
      </c>
      <c r="K11" s="27">
        <f>K57</f>
        <v>-632.6</v>
      </c>
      <c r="L11" s="7"/>
    </row>
    <row r="12" spans="1:12" x14ac:dyDescent="0.35">
      <c r="A12" s="27" t="s">
        <v>13</v>
      </c>
      <c r="B12" s="27">
        <v>0</v>
      </c>
      <c r="C12" s="27">
        <v>0</v>
      </c>
      <c r="D12" s="27">
        <v>-484</v>
      </c>
      <c r="E12" s="27">
        <v>-640</v>
      </c>
      <c r="F12" s="27">
        <v>-1054</v>
      </c>
      <c r="G12" s="28">
        <v>-1797.5</v>
      </c>
      <c r="H12" s="27">
        <f>AVERAGE(F12:G12)</f>
        <v>-1425.75</v>
      </c>
      <c r="I12" s="27">
        <f t="shared" ref="I12:K12" si="4">AVERAGE(G12:H12)</f>
        <v>-1611.625</v>
      </c>
      <c r="J12" s="27">
        <f t="shared" si="4"/>
        <v>-1518.6875</v>
      </c>
      <c r="K12" s="27">
        <f t="shared" si="4"/>
        <v>-1565.15625</v>
      </c>
      <c r="L12" s="7"/>
    </row>
    <row r="13" spans="1:12" x14ac:dyDescent="0.35">
      <c r="A13" s="27" t="s">
        <v>35</v>
      </c>
      <c r="B13" s="27">
        <v>4305</v>
      </c>
      <c r="C13" s="27">
        <v>1184</v>
      </c>
      <c r="D13" s="27">
        <v>4411</v>
      </c>
      <c r="E13" s="27">
        <v>-6772</v>
      </c>
      <c r="F13" s="27">
        <v>-9722</v>
      </c>
      <c r="G13" s="28">
        <v>-3686.25</v>
      </c>
      <c r="H13" s="27">
        <v>0</v>
      </c>
      <c r="I13" s="27">
        <v>0</v>
      </c>
      <c r="J13" s="27">
        <v>0</v>
      </c>
      <c r="K13" s="27">
        <v>0</v>
      </c>
      <c r="L13" s="7"/>
    </row>
    <row r="14" spans="1:12" x14ac:dyDescent="0.35">
      <c r="A14" s="27" t="s">
        <v>14</v>
      </c>
      <c r="B14" s="27">
        <v>-226</v>
      </c>
      <c r="C14" s="27">
        <v>-240</v>
      </c>
      <c r="D14" s="27">
        <v>-1198</v>
      </c>
      <c r="E14" s="27">
        <v>1119</v>
      </c>
      <c r="F14" s="27">
        <v>-831</v>
      </c>
      <c r="G14" s="28">
        <v>-1990</v>
      </c>
      <c r="H14" s="27"/>
      <c r="I14" s="27"/>
      <c r="J14" s="27"/>
      <c r="K14" s="27"/>
      <c r="L14" s="7"/>
    </row>
    <row r="15" spans="1:12" x14ac:dyDescent="0.35">
      <c r="A15" s="27" t="s">
        <v>28</v>
      </c>
      <c r="B15" s="27">
        <v>0</v>
      </c>
      <c r="C15" s="27">
        <v>0</v>
      </c>
      <c r="D15" s="27">
        <v>0</v>
      </c>
      <c r="E15" s="27">
        <v>0</v>
      </c>
      <c r="F15" s="27">
        <v>0</v>
      </c>
      <c r="G15" s="28">
        <v>10675</v>
      </c>
      <c r="H15" s="27"/>
      <c r="I15" s="27"/>
      <c r="J15" s="27"/>
      <c r="K15" s="27"/>
      <c r="L15" s="7"/>
    </row>
    <row r="16" spans="1:12" x14ac:dyDescent="0.35">
      <c r="A16" s="23" t="s">
        <v>15</v>
      </c>
      <c r="B16" s="23">
        <v>40735</v>
      </c>
      <c r="C16" s="23">
        <v>38360</v>
      </c>
      <c r="D16" s="23">
        <v>40276</v>
      </c>
      <c r="E16" s="23">
        <v>10955</v>
      </c>
      <c r="F16" s="23">
        <f t="shared" ref="F16:G16" si="5">SUM(F6:F15)</f>
        <v>43674</v>
      </c>
      <c r="G16" s="23">
        <f>SUM(G6:G15)</f>
        <v>104540</v>
      </c>
      <c r="H16" s="23">
        <f>SUM(H6:H15)</f>
        <v>113537.85710947965</v>
      </c>
      <c r="I16" s="23">
        <f>SUM(I6:I15)</f>
        <v>97030.698096861088</v>
      </c>
      <c r="J16" s="23">
        <f>SUM(J6:J15)</f>
        <v>111759.64394088235</v>
      </c>
      <c r="K16" s="23">
        <f>SUM(K6:K15)</f>
        <v>568531.90194691729</v>
      </c>
      <c r="L16" s="7"/>
    </row>
    <row r="17" spans="1:12" x14ac:dyDescent="0.35">
      <c r="A17" s="23"/>
      <c r="B17" s="23"/>
      <c r="C17" s="23"/>
      <c r="D17" s="23"/>
      <c r="E17" s="23"/>
      <c r="F17" s="23"/>
      <c r="G17" s="24"/>
      <c r="H17" s="23"/>
      <c r="I17" s="23"/>
      <c r="J17" s="23"/>
      <c r="K17" s="23"/>
      <c r="L17" s="7"/>
    </row>
    <row r="18" spans="1:12" x14ac:dyDescent="0.35">
      <c r="A18" s="27" t="s">
        <v>16</v>
      </c>
      <c r="B18" s="27">
        <v>62</v>
      </c>
      <c r="C18" s="27">
        <v>14</v>
      </c>
      <c r="D18" s="27">
        <v>17</v>
      </c>
      <c r="E18" s="27">
        <v>39</v>
      </c>
      <c r="F18" s="27">
        <v>26</v>
      </c>
      <c r="G18" s="28"/>
      <c r="H18" s="27"/>
      <c r="I18" s="27"/>
      <c r="J18" s="27"/>
      <c r="K18" s="27"/>
      <c r="L18" s="7"/>
    </row>
    <row r="19" spans="1:12" x14ac:dyDescent="0.35">
      <c r="A19" s="27" t="s">
        <v>17</v>
      </c>
      <c r="B19" s="27">
        <v>-367</v>
      </c>
      <c r="C19" s="27">
        <v>-375</v>
      </c>
      <c r="D19" s="27">
        <v>-657</v>
      </c>
      <c r="E19" s="27">
        <v>-3024</v>
      </c>
      <c r="F19" s="27">
        <v>-3157</v>
      </c>
      <c r="G19" s="27">
        <f>-G70</f>
        <v>-992.04750000000001</v>
      </c>
      <c r="H19" s="27">
        <f>-H70</f>
        <v>-842.26949999999999</v>
      </c>
      <c r="I19" s="27">
        <f t="shared" ref="I19:K19" si="6">-I70</f>
        <v>-692.84430000000009</v>
      </c>
      <c r="J19" s="27">
        <f t="shared" si="6"/>
        <v>-543.73662000000002</v>
      </c>
      <c r="K19" s="27">
        <f t="shared" si="6"/>
        <v>-394.91470800000002</v>
      </c>
      <c r="L19" s="7"/>
    </row>
    <row r="20" spans="1:12" s="170" customFormat="1" x14ac:dyDescent="0.35">
      <c r="A20" s="168" t="s">
        <v>18</v>
      </c>
      <c r="B20" s="168">
        <v>40430</v>
      </c>
      <c r="C20" s="168">
        <v>37799</v>
      </c>
      <c r="D20" s="168">
        <v>39636</v>
      </c>
      <c r="E20" s="168">
        <v>7970</v>
      </c>
      <c r="F20" s="168">
        <v>40543</v>
      </c>
      <c r="G20" s="168">
        <f>SUM(G16:G19)</f>
        <v>103547.9525</v>
      </c>
      <c r="H20" s="168">
        <f>SUM(H16:H19)</f>
        <v>112695.58760947965</v>
      </c>
      <c r="I20" s="168">
        <f>SUM(I16:I19)</f>
        <v>96337.853796861091</v>
      </c>
      <c r="J20" s="168">
        <f>SUM(J16:J19)</f>
        <v>111215.90732088235</v>
      </c>
      <c r="K20" s="168">
        <f>SUM(K16:K19)</f>
        <v>568136.98723891727</v>
      </c>
      <c r="L20" s="169"/>
    </row>
    <row r="21" spans="1:12" ht="21" x14ac:dyDescent="0.5">
      <c r="A21" s="150" t="s">
        <v>599</v>
      </c>
      <c r="B21" s="25">
        <f>B20+B5</f>
        <v>35802</v>
      </c>
      <c r="C21" s="25">
        <f t="shared" ref="C21:K21" si="7">C20+C5</f>
        <v>29753</v>
      </c>
      <c r="D21" s="25">
        <f t="shared" si="7"/>
        <v>29495</v>
      </c>
      <c r="E21" s="25">
        <f t="shared" si="7"/>
        <v>-6516</v>
      </c>
      <c r="F21" s="25">
        <f t="shared" si="7"/>
        <v>24522</v>
      </c>
      <c r="G21" s="25">
        <f t="shared" si="7"/>
        <v>88710.452499999999</v>
      </c>
      <c r="H21" s="25">
        <f>H20+H5</f>
        <v>98111.837902240615</v>
      </c>
      <c r="I21" s="25">
        <f t="shared" si="7"/>
        <v>79042.391807952154</v>
      </c>
      <c r="J21" s="25">
        <f t="shared" si="7"/>
        <v>91584.056531680559</v>
      </c>
      <c r="K21" s="25">
        <f t="shared" si="7"/>
        <v>545974.01845817803</v>
      </c>
      <c r="L21" s="7"/>
    </row>
    <row r="22" spans="1:12" x14ac:dyDescent="0.35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7"/>
    </row>
    <row r="23" spans="1:12" x14ac:dyDescent="0.35">
      <c r="A23" s="27" t="s">
        <v>19</v>
      </c>
      <c r="B23" s="27">
        <v>-15173</v>
      </c>
      <c r="C23" s="27">
        <v>-14857</v>
      </c>
      <c r="D23" s="27">
        <v>-16770</v>
      </c>
      <c r="E23" s="27">
        <v>-12810</v>
      </c>
      <c r="F23" s="27">
        <v>-17489</v>
      </c>
      <c r="G23" s="27">
        <f>-G58*G20</f>
        <v>-25886.988125</v>
      </c>
      <c r="H23" s="27">
        <f>-H58*H20</f>
        <v>-28173.896902369914</v>
      </c>
      <c r="I23" s="27">
        <f t="shared" ref="I23:K23" si="8">-I58*I20</f>
        <v>-24084.463449215273</v>
      </c>
      <c r="J23" s="27">
        <f t="shared" si="8"/>
        <v>-27803.976830220588</v>
      </c>
      <c r="K23" s="27">
        <f t="shared" si="8"/>
        <v>-142034.24680972932</v>
      </c>
      <c r="L23" s="7"/>
    </row>
    <row r="24" spans="1:12" x14ac:dyDescent="0.35">
      <c r="A24" s="23" t="s">
        <v>20</v>
      </c>
      <c r="B24" s="23">
        <v>22257</v>
      </c>
      <c r="C24" s="23">
        <v>23142</v>
      </c>
      <c r="D24" s="23">
        <v>22866</v>
      </c>
      <c r="E24" s="23">
        <v>-4840</v>
      </c>
      <c r="F24" s="23">
        <v>23054</v>
      </c>
      <c r="G24" s="23">
        <f>G20+G23</f>
        <v>77660.964374999996</v>
      </c>
      <c r="H24" s="23">
        <f>H20+H23</f>
        <v>84521.690707109738</v>
      </c>
      <c r="I24" s="23">
        <f t="shared" ref="I24:K24" si="9">I20+I23</f>
        <v>72253.390347645822</v>
      </c>
      <c r="J24" s="23">
        <f t="shared" si="9"/>
        <v>83411.930490661762</v>
      </c>
      <c r="K24" s="23">
        <f t="shared" si="9"/>
        <v>426102.74042918795</v>
      </c>
      <c r="L24" s="7"/>
    </row>
    <row r="25" spans="1:12" x14ac:dyDescent="0.35">
      <c r="A25" s="23"/>
      <c r="B25" s="23"/>
      <c r="C25" s="23"/>
      <c r="D25" s="23"/>
      <c r="E25" s="23"/>
      <c r="F25" s="23"/>
      <c r="G25" s="24"/>
      <c r="H25" s="23"/>
      <c r="I25" s="23"/>
      <c r="J25" s="23"/>
      <c r="K25" s="23"/>
      <c r="L25" s="7"/>
    </row>
    <row r="26" spans="1:12" x14ac:dyDescent="0.35">
      <c r="A26" s="27" t="s">
        <v>21</v>
      </c>
      <c r="B26" s="27">
        <v>-173</v>
      </c>
      <c r="C26" s="27">
        <v>-531</v>
      </c>
      <c r="D26" s="27">
        <v>-462</v>
      </c>
      <c r="E26" s="27">
        <v>-622</v>
      </c>
      <c r="F26" s="27">
        <v>-116</v>
      </c>
      <c r="G26" s="28">
        <v>0</v>
      </c>
      <c r="H26" s="27"/>
      <c r="I26" s="27"/>
      <c r="J26" s="27"/>
      <c r="K26" s="27"/>
      <c r="L26" s="7"/>
    </row>
    <row r="27" spans="1:12" x14ac:dyDescent="0.35">
      <c r="A27" s="23" t="s">
        <v>22</v>
      </c>
      <c r="B27" s="23">
        <v>25084</v>
      </c>
      <c r="C27" s="23">
        <v>22611</v>
      </c>
      <c r="D27" s="23">
        <v>22404</v>
      </c>
      <c r="E27" s="23">
        <v>-5462</v>
      </c>
      <c r="F27" s="23">
        <v>22938</v>
      </c>
      <c r="G27" s="23">
        <f>G24</f>
        <v>77660.964374999996</v>
      </c>
      <c r="H27" s="23">
        <f>H24</f>
        <v>84521.690707109738</v>
      </c>
      <c r="I27" s="23">
        <f t="shared" ref="I27:K27" si="10">I24</f>
        <v>72253.390347645822</v>
      </c>
      <c r="J27" s="23">
        <f t="shared" si="10"/>
        <v>83411.930490661762</v>
      </c>
      <c r="K27" s="23">
        <f t="shared" si="10"/>
        <v>426102.74042918795</v>
      </c>
      <c r="L27" s="7"/>
    </row>
    <row r="28" spans="1:12" x14ac:dyDescent="0.35">
      <c r="A28" s="23"/>
      <c r="B28" s="23"/>
      <c r="C28" s="23"/>
      <c r="D28" s="23"/>
      <c r="E28" s="23"/>
      <c r="F28" s="23"/>
      <c r="G28" s="24"/>
      <c r="H28" s="23"/>
      <c r="I28" s="23"/>
      <c r="J28" s="23"/>
      <c r="K28" s="23"/>
      <c r="L28" s="7"/>
    </row>
    <row r="29" spans="1:12" x14ac:dyDescent="0.35">
      <c r="A29" s="27" t="s">
        <v>23</v>
      </c>
      <c r="B29" s="27">
        <v>20780</v>
      </c>
      <c r="C29" s="27">
        <v>18405</v>
      </c>
      <c r="D29" s="27">
        <v>17903</v>
      </c>
      <c r="E29" s="27">
        <v>-7862</v>
      </c>
      <c r="F29" s="27">
        <v>17899</v>
      </c>
      <c r="G29" s="29">
        <f>(1-0.132)*G27</f>
        <v>67409.717077499998</v>
      </c>
      <c r="H29" s="29">
        <f t="shared" ref="H29:K29" si="11">(1-0.132)*H27</f>
        <v>73364.827533771255</v>
      </c>
      <c r="I29" s="29">
        <f t="shared" si="11"/>
        <v>62715.942821756573</v>
      </c>
      <c r="J29" s="29">
        <f t="shared" si="11"/>
        <v>72401.555665894412</v>
      </c>
      <c r="K29" s="29">
        <f t="shared" si="11"/>
        <v>369857.17869253515</v>
      </c>
      <c r="L29" s="7"/>
    </row>
    <row r="30" spans="1:12" x14ac:dyDescent="0.35">
      <c r="A30" s="27" t="s">
        <v>24</v>
      </c>
      <c r="B30" s="27">
        <v>4477</v>
      </c>
      <c r="C30" s="27">
        <v>4737</v>
      </c>
      <c r="D30" s="27">
        <v>4963</v>
      </c>
      <c r="E30" s="27">
        <v>3022</v>
      </c>
      <c r="F30" s="27">
        <v>5155</v>
      </c>
      <c r="G30" s="27">
        <f>G27-G29</f>
        <v>10251.247297499998</v>
      </c>
      <c r="H30" s="27">
        <f>H27-H29</f>
        <v>11156.863173338483</v>
      </c>
      <c r="I30" s="27">
        <f t="shared" ref="I30:K30" si="12">I27-I29</f>
        <v>9537.4475258892489</v>
      </c>
      <c r="J30" s="27">
        <f t="shared" si="12"/>
        <v>11010.37482476735</v>
      </c>
      <c r="K30" s="27">
        <f t="shared" si="12"/>
        <v>56245.561736652802</v>
      </c>
      <c r="L30" s="7"/>
    </row>
    <row r="31" spans="1:12" x14ac:dyDescent="0.35">
      <c r="A31" s="30" t="s">
        <v>25</v>
      </c>
      <c r="B31" s="30">
        <v>25084</v>
      </c>
      <c r="C31" s="30">
        <v>22611</v>
      </c>
      <c r="D31" s="30">
        <v>22938</v>
      </c>
      <c r="E31" s="30">
        <v>-5462</v>
      </c>
      <c r="F31" s="30">
        <v>22938</v>
      </c>
      <c r="G31" s="30">
        <f>G27</f>
        <v>77660.964374999996</v>
      </c>
      <c r="H31" s="30">
        <f>H24</f>
        <v>84521.690707109738</v>
      </c>
      <c r="I31" s="30">
        <f t="shared" ref="I31:K31" si="13">I24</f>
        <v>72253.390347645822</v>
      </c>
      <c r="J31" s="30">
        <f t="shared" si="13"/>
        <v>83411.930490661762</v>
      </c>
      <c r="K31" s="30">
        <f t="shared" si="13"/>
        <v>426102.74042918795</v>
      </c>
      <c r="L31" s="7"/>
    </row>
    <row r="32" spans="1:12" x14ac:dyDescent="0.35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7"/>
    </row>
    <row r="33" spans="1:14" s="41" customFormat="1" ht="21" x14ac:dyDescent="0.5">
      <c r="A33" s="148" t="s">
        <v>592</v>
      </c>
      <c r="B33" s="147">
        <f t="shared" ref="B33:K33" si="14">B21/B2</f>
        <v>0.35801283974320514</v>
      </c>
      <c r="C33" s="147">
        <f t="shared" si="14"/>
        <v>0.24522579103099837</v>
      </c>
      <c r="D33" s="147">
        <f t="shared" si="14"/>
        <v>0.20759139088695261</v>
      </c>
      <c r="E33" s="147">
        <f t="shared" si="14"/>
        <v>-4.4534357614445644E-2</v>
      </c>
      <c r="F33" s="147">
        <f t="shared" si="14"/>
        <v>0.13398682096842934</v>
      </c>
      <c r="G33" s="147">
        <f t="shared" si="14"/>
        <v>0.36785085550493191</v>
      </c>
      <c r="H33" s="147">
        <f t="shared" si="14"/>
        <v>0.39291409426153573</v>
      </c>
      <c r="I33" s="147">
        <f t="shared" si="14"/>
        <v>0.33529904854966402</v>
      </c>
      <c r="J33" s="147">
        <f t="shared" si="14"/>
        <v>0.35322316919357977</v>
      </c>
      <c r="K33" s="147">
        <f t="shared" si="14"/>
        <v>0.49544475430219709</v>
      </c>
      <c r="L33" s="146"/>
    </row>
    <row r="34" spans="1:14" s="41" customFormat="1" x14ac:dyDescent="0.35">
      <c r="A34" s="147"/>
      <c r="B34" s="147"/>
      <c r="C34" s="147"/>
      <c r="D34" s="147"/>
      <c r="E34" s="147"/>
      <c r="F34" s="147"/>
      <c r="G34" s="147"/>
      <c r="H34" s="147"/>
      <c r="I34" s="147"/>
      <c r="J34" s="147"/>
      <c r="K34" s="147"/>
      <c r="L34" s="146"/>
    </row>
    <row r="35" spans="1:14" ht="21" x14ac:dyDescent="0.5">
      <c r="A35" s="149" t="s">
        <v>593</v>
      </c>
      <c r="B35" s="27">
        <f t="shared" ref="B35:K35" si="15">B6/B2</f>
        <v>0.46655066898662029</v>
      </c>
      <c r="C35" s="27">
        <f t="shared" si="15"/>
        <v>0.44568075233456139</v>
      </c>
      <c r="D35" s="27">
        <f t="shared" si="15"/>
        <v>0.43509381906223166</v>
      </c>
      <c r="E35" s="27">
        <f t="shared" si="15"/>
        <v>0.28351353937422258</v>
      </c>
      <c r="F35" s="27">
        <f t="shared" si="15"/>
        <v>0.42066900523445783</v>
      </c>
      <c r="G35" s="27">
        <f t="shared" si="15"/>
        <v>0.5057819797125338</v>
      </c>
      <c r="H35" s="27">
        <f t="shared" si="15"/>
        <v>0.59140056316690459</v>
      </c>
      <c r="I35" s="27">
        <f t="shared" si="15"/>
        <v>0.5512780051364915</v>
      </c>
      <c r="J35" s="27">
        <f t="shared" si="15"/>
        <v>0.56674816681855722</v>
      </c>
      <c r="K35" s="27">
        <f t="shared" si="15"/>
        <v>0.62435945102369073</v>
      </c>
      <c r="L35" s="7"/>
    </row>
    <row r="36" spans="1:14" x14ac:dyDescent="0.35">
      <c r="A36" s="27"/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7"/>
    </row>
    <row r="37" spans="1:14" s="41" customFormat="1" ht="21" x14ac:dyDescent="0.5">
      <c r="A37" s="148" t="s">
        <v>594</v>
      </c>
      <c r="B37" s="147">
        <f t="shared" ref="B37:K37" si="16">B20/B2</f>
        <v>0.40429191416171678</v>
      </c>
      <c r="C37" s="147">
        <f t="shared" si="16"/>
        <v>0.3115413462568718</v>
      </c>
      <c r="D37" s="147">
        <f t="shared" si="16"/>
        <v>0.27896566771301079</v>
      </c>
      <c r="E37" s="147">
        <f t="shared" si="16"/>
        <v>5.4471889224544476E-2</v>
      </c>
      <c r="F37" s="147">
        <f t="shared" si="16"/>
        <v>0.22152465877673233</v>
      </c>
      <c r="G37" s="147">
        <f t="shared" si="16"/>
        <v>0.42937671761858109</v>
      </c>
      <c r="H37" s="147">
        <f t="shared" si="16"/>
        <v>0.45131847165039207</v>
      </c>
      <c r="I37" s="147">
        <f t="shared" si="16"/>
        <v>0.40866666580494826</v>
      </c>
      <c r="J37" s="147">
        <f t="shared" si="16"/>
        <v>0.42893967286797852</v>
      </c>
      <c r="K37" s="147">
        <f t="shared" si="16"/>
        <v>0.51555656594698829</v>
      </c>
      <c r="L37" s="146"/>
    </row>
    <row r="38" spans="1:14" s="41" customFormat="1" x14ac:dyDescent="0.35">
      <c r="A38" s="147"/>
      <c r="B38" s="147"/>
      <c r="C38" s="147"/>
      <c r="D38" s="147"/>
      <c r="E38" s="147"/>
      <c r="F38" s="147"/>
      <c r="G38" s="147"/>
      <c r="H38" s="147"/>
      <c r="I38" s="147"/>
      <c r="J38" s="147"/>
      <c r="K38" s="147"/>
      <c r="L38" s="146"/>
    </row>
    <row r="39" spans="1:14" ht="21" x14ac:dyDescent="0.5">
      <c r="A39" s="149" t="s">
        <v>595</v>
      </c>
      <c r="B39" s="27">
        <f t="shared" ref="B39:K39" si="17">B24/B2</f>
        <v>0.22256554868902623</v>
      </c>
      <c r="C39" s="27">
        <f t="shared" si="17"/>
        <v>0.19073758128724377</v>
      </c>
      <c r="D39" s="27">
        <f t="shared" si="17"/>
        <v>0.16093523458284653</v>
      </c>
      <c r="E39" s="27">
        <f t="shared" si="17"/>
        <v>-3.3079541260576571E-2</v>
      </c>
      <c r="F39" s="27">
        <f t="shared" si="17"/>
        <v>0.12596575200253526</v>
      </c>
      <c r="G39" s="27">
        <f t="shared" si="17"/>
        <v>0.32203253821393585</v>
      </c>
      <c r="H39" s="27">
        <f t="shared" si="17"/>
        <v>0.33848885373779403</v>
      </c>
      <c r="I39" s="27">
        <f t="shared" si="17"/>
        <v>0.30649999935371119</v>
      </c>
      <c r="J39" s="27">
        <f t="shared" si="17"/>
        <v>0.32170475465098386</v>
      </c>
      <c r="K39" s="27">
        <f t="shared" si="17"/>
        <v>0.38666742446024122</v>
      </c>
      <c r="L39" s="7"/>
    </row>
    <row r="40" spans="1:14" x14ac:dyDescent="0.35">
      <c r="A40" s="27"/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7"/>
    </row>
    <row r="41" spans="1:14" x14ac:dyDescent="0.35">
      <c r="A41" s="27"/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7"/>
    </row>
    <row r="42" spans="1:14" x14ac:dyDescent="0.35">
      <c r="C42" s="7"/>
      <c r="D42" s="7"/>
      <c r="E42" s="7"/>
      <c r="F42" s="7"/>
    </row>
    <row r="44" spans="1:14" x14ac:dyDescent="0.35">
      <c r="A44" s="3" t="s">
        <v>27</v>
      </c>
      <c r="B44" s="8"/>
      <c r="C44" s="1"/>
      <c r="D44" s="1"/>
      <c r="E44" s="1"/>
      <c r="F44" s="5"/>
      <c r="G44" s="5"/>
      <c r="H44" s="1"/>
      <c r="I44" s="1"/>
      <c r="J44" s="1"/>
      <c r="K44" s="1"/>
      <c r="L44" s="1"/>
      <c r="M44" s="1"/>
      <c r="N44" s="1"/>
    </row>
    <row r="45" spans="1:14" x14ac:dyDescent="0.35">
      <c r="A45" s="10" t="s">
        <v>26</v>
      </c>
      <c r="B45" s="10">
        <v>2020</v>
      </c>
      <c r="C45" s="10">
        <v>2021</v>
      </c>
      <c r="D45" s="10">
        <v>2022</v>
      </c>
      <c r="E45" s="10">
        <v>2023</v>
      </c>
      <c r="F45" s="10">
        <v>2024</v>
      </c>
      <c r="G45" s="10">
        <v>2025</v>
      </c>
      <c r="H45" s="10">
        <v>2026</v>
      </c>
      <c r="I45" s="10">
        <v>2027</v>
      </c>
      <c r="J45" s="10">
        <v>2028</v>
      </c>
      <c r="K45" s="10">
        <v>2029</v>
      </c>
      <c r="L45" s="10"/>
      <c r="M45" s="10"/>
      <c r="N45" s="10"/>
    </row>
    <row r="46" spans="1:14" x14ac:dyDescent="0.35">
      <c r="A46" s="2" t="s">
        <v>29</v>
      </c>
      <c r="B46" s="9">
        <v>57899</v>
      </c>
      <c r="C46" s="2">
        <v>67476</v>
      </c>
      <c r="D46" s="2">
        <v>80775</v>
      </c>
      <c r="E46" s="2">
        <v>75416</v>
      </c>
      <c r="F46" s="13">
        <v>76656</v>
      </c>
      <c r="G46" s="13"/>
      <c r="H46" s="2">
        <v>69847</v>
      </c>
      <c r="I46" s="2">
        <v>69848</v>
      </c>
      <c r="J46" s="2">
        <v>69840</v>
      </c>
      <c r="K46" s="2">
        <v>69847</v>
      </c>
      <c r="L46" s="2">
        <v>69847</v>
      </c>
      <c r="M46" s="2"/>
      <c r="N46" s="2"/>
    </row>
    <row r="47" spans="1:14" x14ac:dyDescent="0.35">
      <c r="A47" s="2" t="s">
        <v>552</v>
      </c>
      <c r="B47" s="9"/>
      <c r="C47" s="2"/>
      <c r="D47" s="2"/>
      <c r="E47" s="2"/>
      <c r="F47" s="13"/>
      <c r="G47" s="13"/>
      <c r="H47" s="2"/>
      <c r="I47" s="2"/>
      <c r="J47" s="2"/>
      <c r="K47" s="2">
        <v>200000</v>
      </c>
      <c r="L47" s="2"/>
      <c r="M47" s="2"/>
      <c r="N47" s="2"/>
    </row>
    <row r="48" spans="1:14" x14ac:dyDescent="0.35">
      <c r="A48" s="2" t="s">
        <v>447</v>
      </c>
      <c r="B48" s="9"/>
      <c r="C48" s="2"/>
      <c r="D48" s="2"/>
      <c r="E48" s="2">
        <v>1.91</v>
      </c>
      <c r="F48" s="6" t="s">
        <v>33</v>
      </c>
      <c r="G48" s="6"/>
      <c r="H48" s="2">
        <v>3.5750000000000002</v>
      </c>
      <c r="I48" s="2">
        <v>3.375</v>
      </c>
      <c r="J48" s="2">
        <f>I48*1.1</f>
        <v>3.7125000000000004</v>
      </c>
      <c r="K48" s="2">
        <f>J48*1.1</f>
        <v>4.0837500000000011</v>
      </c>
      <c r="L48" s="2"/>
      <c r="M48" s="2"/>
      <c r="N48" s="2"/>
    </row>
    <row r="49" spans="1:14" x14ac:dyDescent="0.35">
      <c r="A49" s="2" t="s">
        <v>351</v>
      </c>
      <c r="B49" s="9"/>
      <c r="C49" s="2"/>
      <c r="D49" s="2"/>
      <c r="E49" s="2"/>
      <c r="F49" s="6"/>
      <c r="G49" s="6"/>
      <c r="H49" s="2"/>
      <c r="I49" s="2"/>
      <c r="J49" s="2"/>
      <c r="K49" s="2"/>
      <c r="L49" s="2"/>
      <c r="M49" s="2"/>
      <c r="N49" s="2"/>
    </row>
    <row r="50" spans="1:14" x14ac:dyDescent="0.35">
      <c r="A50" s="2" t="s">
        <v>448</v>
      </c>
      <c r="B50" s="9"/>
      <c r="C50" s="2"/>
      <c r="D50" s="2"/>
      <c r="E50" s="2"/>
      <c r="F50" s="6"/>
      <c r="G50" s="6"/>
      <c r="H50" s="2">
        <f>H46*H48</f>
        <v>249703.02500000002</v>
      </c>
      <c r="I50" s="2">
        <f>I46*I48</f>
        <v>235737</v>
      </c>
      <c r="J50" s="2">
        <f>J46*J48</f>
        <v>259281.00000000003</v>
      </c>
      <c r="K50" s="2">
        <f>K46*K48</f>
        <v>285237.68625000009</v>
      </c>
      <c r="L50" s="2"/>
      <c r="M50" s="2"/>
      <c r="N50" s="2"/>
    </row>
    <row r="51" spans="1:14" x14ac:dyDescent="0.35">
      <c r="A51" s="2" t="s">
        <v>549</v>
      </c>
      <c r="B51" s="9"/>
      <c r="C51" s="2"/>
      <c r="D51" s="2"/>
      <c r="E51" s="2"/>
      <c r="F51" s="6"/>
      <c r="G51" s="6"/>
      <c r="H51" s="2"/>
      <c r="I51" s="2"/>
      <c r="J51" s="2"/>
      <c r="K51" s="2"/>
      <c r="L51" s="2"/>
      <c r="M51" s="2"/>
      <c r="N51" s="2"/>
    </row>
    <row r="52" spans="1:14" x14ac:dyDescent="0.35">
      <c r="A52" s="2" t="s">
        <v>553</v>
      </c>
      <c r="B52" s="9"/>
      <c r="C52" s="2"/>
      <c r="D52" s="2"/>
      <c r="E52" s="2"/>
      <c r="F52" s="6"/>
      <c r="G52" s="6"/>
      <c r="H52" s="2"/>
      <c r="I52" s="2"/>
      <c r="J52" s="2"/>
      <c r="K52" s="2">
        <v>1061</v>
      </c>
      <c r="L52" s="2"/>
      <c r="M52" s="2"/>
      <c r="N52" s="2"/>
    </row>
    <row r="53" spans="1:14" s="7" customFormat="1" x14ac:dyDescent="0.35">
      <c r="A53" s="9" t="s">
        <v>30</v>
      </c>
      <c r="B53" s="9">
        <f>-B4/B46*1000</f>
        <v>754.95258985474709</v>
      </c>
      <c r="C53" s="9">
        <f>-C4/C46*1000</f>
        <v>787.33179204457883</v>
      </c>
      <c r="D53" s="9">
        <f>-D4/D46*1000</f>
        <v>779.9195295574126</v>
      </c>
      <c r="E53" s="9">
        <f>-E4/E46*1000</f>
        <v>1096.703617269545</v>
      </c>
      <c r="F53" s="9">
        <f>-F4/F46*1000</f>
        <v>1053.3291588394907</v>
      </c>
      <c r="G53" s="9"/>
      <c r="H53" s="9">
        <f>AVERAGE(B53:F53)</f>
        <v>894.44733751315493</v>
      </c>
      <c r="I53" s="9">
        <f t="shared" ref="I53:K53" si="18">AVERAGE(C53:G53)</f>
        <v>929.32102442775681</v>
      </c>
      <c r="J53" s="9">
        <f t="shared" si="18"/>
        <v>956.09991079490078</v>
      </c>
      <c r="K53" s="9">
        <f t="shared" si="18"/>
        <v>993.45028451248686</v>
      </c>
      <c r="L53" s="9"/>
      <c r="M53" s="9"/>
      <c r="N53" s="9"/>
    </row>
    <row r="54" spans="1:14" x14ac:dyDescent="0.35">
      <c r="A54" s="2" t="s">
        <v>565</v>
      </c>
      <c r="B54" s="15"/>
      <c r="C54" s="15"/>
      <c r="D54" s="15"/>
      <c r="E54" s="15"/>
      <c r="F54" s="15"/>
      <c r="G54" s="15">
        <f>0.25</f>
        <v>0.25</v>
      </c>
      <c r="H54" s="15">
        <f t="shared" ref="H54:K54" si="19">0.25</f>
        <v>0.25</v>
      </c>
      <c r="I54" s="15">
        <f t="shared" si="19"/>
        <v>0.25</v>
      </c>
      <c r="J54" s="15">
        <f t="shared" si="19"/>
        <v>0.25</v>
      </c>
      <c r="K54" s="15">
        <f t="shared" si="19"/>
        <v>0.25</v>
      </c>
      <c r="L54" s="2"/>
      <c r="M54" s="2"/>
      <c r="N54" s="2"/>
    </row>
    <row r="55" spans="1:14" x14ac:dyDescent="0.35">
      <c r="A55" s="2" t="s">
        <v>31</v>
      </c>
      <c r="B55" s="15">
        <f t="shared" ref="B55:G55" si="20">-B3/B2</f>
        <v>5.0068998620027602E-2</v>
      </c>
      <c r="C55" s="15">
        <f t="shared" si="20"/>
        <v>5.0136405970542905E-2</v>
      </c>
      <c r="D55" s="15">
        <f t="shared" si="20"/>
        <v>5.0140059965372109E-2</v>
      </c>
      <c r="E55" s="15">
        <f t="shared" si="20"/>
        <v>5.2195962108889105E-2</v>
      </c>
      <c r="F55" s="15">
        <f t="shared" si="20"/>
        <v>5.0612508059316573E-2</v>
      </c>
      <c r="G55" s="15">
        <f t="shared" si="20"/>
        <v>5.0614999455752693E-2</v>
      </c>
      <c r="H55" s="15">
        <v>0.1</v>
      </c>
      <c r="I55" s="15">
        <v>0.1</v>
      </c>
      <c r="J55" s="15">
        <v>0.1</v>
      </c>
      <c r="K55" s="15">
        <v>0.1</v>
      </c>
      <c r="L55" s="2"/>
      <c r="M55" s="2"/>
      <c r="N55" s="2"/>
    </row>
    <row r="56" spans="1:14" x14ac:dyDescent="0.35">
      <c r="A56" s="2" t="s">
        <v>32</v>
      </c>
      <c r="B56" s="15">
        <f t="shared" ref="B56:G56" si="21">-B10/B2</f>
        <v>7.996840063198736E-2</v>
      </c>
      <c r="C56" s="15">
        <f t="shared" si="21"/>
        <v>7.4928500193688241E-2</v>
      </c>
      <c r="D56" s="15">
        <f t="shared" si="21"/>
        <v>8.4043017412480117E-2</v>
      </c>
      <c r="E56" s="15">
        <f t="shared" si="21"/>
        <v>0.11912052161789029</v>
      </c>
      <c r="F56" s="15">
        <f t="shared" si="21"/>
        <v>8.5554426340578527E-2</v>
      </c>
      <c r="G56" s="15">
        <f t="shared" si="21"/>
        <v>6.8699559937178314E-2</v>
      </c>
      <c r="H56" s="15">
        <f>AVERAGE(B56:F56)</f>
        <v>8.8722973239324904E-2</v>
      </c>
      <c r="I56" s="15">
        <f>AVERAGE(C56:G56)</f>
        <v>8.6469205100363086E-2</v>
      </c>
      <c r="J56" s="15">
        <f>AVERAGE(D56:H56)</f>
        <v>8.9228099709490444E-2</v>
      </c>
      <c r="K56" s="15">
        <f>AVERAGE(E56:I56)</f>
        <v>8.971333724706701E-2</v>
      </c>
      <c r="L56" s="2"/>
      <c r="M56" s="2"/>
      <c r="N56" s="2"/>
    </row>
    <row r="57" spans="1:14" x14ac:dyDescent="0.35">
      <c r="A57" s="2" t="s">
        <v>34</v>
      </c>
      <c r="B57" s="9"/>
      <c r="C57" s="2"/>
      <c r="D57" s="2"/>
      <c r="E57" s="2"/>
      <c r="F57" s="6"/>
      <c r="G57" s="6"/>
      <c r="H57" s="9">
        <f>AVERAGE(B11:F11)</f>
        <v>-632.6</v>
      </c>
      <c r="I57" s="9">
        <f>H57</f>
        <v>-632.6</v>
      </c>
      <c r="J57" s="9">
        <f>I57</f>
        <v>-632.6</v>
      </c>
      <c r="K57" s="9">
        <f>J57</f>
        <v>-632.6</v>
      </c>
      <c r="L57" s="2"/>
      <c r="M57" s="2"/>
      <c r="N57" s="2"/>
    </row>
    <row r="58" spans="1:14" x14ac:dyDescent="0.35">
      <c r="A58" s="2" t="s">
        <v>565</v>
      </c>
      <c r="B58" s="2"/>
      <c r="C58" s="2"/>
      <c r="D58" s="2"/>
      <c r="E58" s="2"/>
      <c r="F58" s="2"/>
      <c r="G58" s="118">
        <v>0.25</v>
      </c>
      <c r="H58" s="118">
        <v>0.25</v>
      </c>
      <c r="I58" s="118">
        <v>0.25</v>
      </c>
      <c r="J58" s="118">
        <v>0.25</v>
      </c>
      <c r="K58" s="118">
        <v>0.25</v>
      </c>
      <c r="L58" s="2"/>
      <c r="M58" s="2"/>
      <c r="N58" s="2"/>
    </row>
    <row r="59" spans="1:14" x14ac:dyDescent="0.35">
      <c r="A59" s="9" t="s">
        <v>481</v>
      </c>
      <c r="B59" s="9"/>
      <c r="C59" s="2"/>
      <c r="D59" s="2"/>
      <c r="E59" s="2">
        <f>(E12-D12)/D12</f>
        <v>0.32231404958677684</v>
      </c>
      <c r="F59" s="2">
        <f>(F12-E12)/E12</f>
        <v>0.64687499999999998</v>
      </c>
      <c r="G59" s="6"/>
      <c r="H59" s="2"/>
      <c r="I59" s="2"/>
      <c r="J59" s="2"/>
      <c r="K59" s="2"/>
      <c r="L59" s="2"/>
      <c r="M59" s="2"/>
      <c r="N59" s="2"/>
    </row>
    <row r="60" spans="1:14" x14ac:dyDescent="0.35">
      <c r="A60" s="2" t="s">
        <v>482</v>
      </c>
      <c r="B60" s="9"/>
      <c r="C60" s="2"/>
      <c r="D60" s="2">
        <f>D11/D12</f>
        <v>1.2582644628099173</v>
      </c>
      <c r="E60" s="2">
        <f>E11/E12</f>
        <v>0.72343749999999996</v>
      </c>
      <c r="F60" s="2">
        <f>F11/F12</f>
        <v>0.19070208728652752</v>
      </c>
      <c r="G60" s="6"/>
      <c r="H60" s="2"/>
      <c r="I60" s="2"/>
      <c r="J60" s="2"/>
      <c r="K60" s="2"/>
      <c r="L60" s="2"/>
      <c r="M60" s="2"/>
      <c r="N60" s="2"/>
    </row>
    <row r="61" spans="1:14" x14ac:dyDescent="0.35">
      <c r="A61" s="2"/>
      <c r="B61" s="9"/>
      <c r="C61" s="2"/>
      <c r="D61" s="2"/>
      <c r="E61" s="2"/>
      <c r="F61" s="2"/>
      <c r="G61" s="6"/>
      <c r="H61" s="2"/>
      <c r="I61" s="2"/>
      <c r="J61" s="2"/>
      <c r="K61" s="2"/>
      <c r="L61" s="2"/>
      <c r="M61" s="2"/>
      <c r="N61" s="2"/>
    </row>
    <row r="62" spans="1:14" x14ac:dyDescent="0.35">
      <c r="A62" s="2" t="s">
        <v>514</v>
      </c>
      <c r="B62" s="9"/>
      <c r="C62" s="2"/>
      <c r="D62" s="2"/>
      <c r="E62" s="2"/>
      <c r="F62" s="2"/>
      <c r="G62" s="6"/>
      <c r="H62" s="2"/>
      <c r="I62" s="2"/>
      <c r="J62" s="2"/>
      <c r="K62" s="2"/>
      <c r="L62" s="2"/>
      <c r="M62" s="2"/>
      <c r="N62" s="2"/>
    </row>
    <row r="63" spans="1:14" x14ac:dyDescent="0.35">
      <c r="A63" s="2" t="s">
        <v>515</v>
      </c>
      <c r="B63" s="9">
        <f>B29/B27</f>
        <v>0.82841652049114978</v>
      </c>
      <c r="C63" s="9">
        <f>C29/C27</f>
        <v>0.81398434390340979</v>
      </c>
      <c r="D63" s="9">
        <f>D29/D27</f>
        <v>0.79909837529012673</v>
      </c>
      <c r="E63" s="9"/>
      <c r="F63" s="9">
        <f>F29/F27</f>
        <v>0.78032086494027375</v>
      </c>
      <c r="G63" s="6"/>
      <c r="H63" s="9">
        <f>AVERAGE(B63:F63)</f>
        <v>0.80545502615623998</v>
      </c>
      <c r="I63" s="9">
        <f>H63</f>
        <v>0.80545502615623998</v>
      </c>
      <c r="J63" s="9">
        <f t="shared" ref="J63:K63" si="22">I63</f>
        <v>0.80545502615623998</v>
      </c>
      <c r="K63" s="9">
        <f t="shared" si="22"/>
        <v>0.80545502615623998</v>
      </c>
      <c r="L63" s="2"/>
      <c r="M63" s="2"/>
      <c r="N63" s="2"/>
    </row>
    <row r="64" spans="1:14" x14ac:dyDescent="0.35">
      <c r="A64" s="2" t="s">
        <v>516</v>
      </c>
      <c r="B64" s="9">
        <f>B30/B27</f>
        <v>0.17848030617126456</v>
      </c>
      <c r="C64" s="9">
        <f>C30/C27</f>
        <v>0.209499800981823</v>
      </c>
      <c r="D64" s="9">
        <f>D30/D27</f>
        <v>0.22152294233172648</v>
      </c>
      <c r="E64" s="9"/>
      <c r="F64" s="9">
        <f>F30/F27</f>
        <v>0.22473624553143257</v>
      </c>
      <c r="G64" s="9">
        <f>G30/G27</f>
        <v>0.13199999999999998</v>
      </c>
      <c r="H64" s="9"/>
      <c r="I64" s="2"/>
      <c r="J64" s="2"/>
      <c r="K64" s="2"/>
      <c r="L64" s="2"/>
      <c r="M64" s="2"/>
      <c r="N64" s="2"/>
    </row>
    <row r="66" spans="1:14" x14ac:dyDescent="0.35">
      <c r="A66" s="65" t="s">
        <v>275</v>
      </c>
      <c r="B66" s="27"/>
      <c r="C66" s="16"/>
      <c r="D66" s="16"/>
      <c r="E66" s="16"/>
      <c r="F66" s="76"/>
      <c r="G66" s="68">
        <v>2025</v>
      </c>
      <c r="H66" s="68">
        <v>2026</v>
      </c>
      <c r="I66" s="68">
        <v>2027</v>
      </c>
      <c r="J66" s="69"/>
      <c r="K66" s="16"/>
      <c r="L66" s="16"/>
      <c r="M66" s="16"/>
      <c r="N66" s="16"/>
    </row>
    <row r="67" spans="1:14" x14ac:dyDescent="0.35">
      <c r="A67" s="16" t="s">
        <v>264</v>
      </c>
      <c r="B67" s="46"/>
      <c r="C67" s="46"/>
      <c r="D67" s="46"/>
      <c r="E67" s="46"/>
      <c r="F67" s="46"/>
      <c r="G67" s="46">
        <f>'balance sheet'!G114</f>
        <v>0</v>
      </c>
      <c r="H67" s="46">
        <f>'balance sheet'!H114</f>
        <v>0</v>
      </c>
      <c r="I67" s="46">
        <f>'balance sheet'!I114</f>
        <v>0</v>
      </c>
      <c r="J67" s="46">
        <f>'balance sheet'!J114</f>
        <v>0</v>
      </c>
      <c r="K67" s="46">
        <f>'balance sheet'!K114</f>
        <v>0</v>
      </c>
      <c r="L67" s="16"/>
      <c r="M67" s="16"/>
      <c r="N67" s="16"/>
    </row>
    <row r="68" spans="1:14" x14ac:dyDescent="0.35">
      <c r="A68" s="16" t="s">
        <v>270</v>
      </c>
      <c r="B68" s="46"/>
      <c r="C68" s="46"/>
      <c r="D68" s="46"/>
      <c r="E68" s="46"/>
      <c r="F68" s="46"/>
      <c r="G68" s="46">
        <f>'balance sheet'!G129</f>
        <v>35.28</v>
      </c>
      <c r="H68" s="46">
        <f>'balance sheet'!H129</f>
        <v>31.752000000000002</v>
      </c>
      <c r="I68" s="46">
        <f>'balance sheet'!I129</f>
        <v>28.576800000000002</v>
      </c>
      <c r="J68" s="46">
        <f>'balance sheet'!J129</f>
        <v>25.71912</v>
      </c>
      <c r="K68" s="46">
        <f>'balance sheet'!K129</f>
        <v>23.147207999999999</v>
      </c>
      <c r="L68" s="16"/>
      <c r="M68" s="16"/>
      <c r="N68" s="16"/>
    </row>
    <row r="69" spans="1:14" x14ac:dyDescent="0.35">
      <c r="A69" s="16" t="s">
        <v>251</v>
      </c>
      <c r="B69" s="46"/>
      <c r="C69" s="46"/>
      <c r="D69" s="46"/>
      <c r="E69" s="46"/>
      <c r="F69" s="46"/>
      <c r="G69" s="46">
        <f>'balance sheet'!G93</f>
        <v>956.76750000000004</v>
      </c>
      <c r="H69" s="46">
        <f>'balance sheet'!H93</f>
        <v>810.51750000000004</v>
      </c>
      <c r="I69" s="46">
        <f>'balance sheet'!I93</f>
        <v>664.26750000000004</v>
      </c>
      <c r="J69" s="46">
        <f>'balance sheet'!J93</f>
        <v>518.01750000000004</v>
      </c>
      <c r="K69" s="46">
        <f>'balance sheet'!K93</f>
        <v>371.76750000000004</v>
      </c>
      <c r="L69" s="16"/>
      <c r="M69" s="16"/>
      <c r="N69" s="16"/>
    </row>
    <row r="70" spans="1:14" x14ac:dyDescent="0.35">
      <c r="A70" s="42" t="s">
        <v>262</v>
      </c>
      <c r="B70" s="47"/>
      <c r="C70" s="47"/>
      <c r="D70" s="47"/>
      <c r="E70" s="47"/>
      <c r="F70" s="47"/>
      <c r="G70" s="47">
        <f>SUM(G67:G69)</f>
        <v>992.04750000000001</v>
      </c>
      <c r="H70" s="47">
        <f>SUM(H67:H69)</f>
        <v>842.26949999999999</v>
      </c>
      <c r="I70" s="47">
        <f>SUM(I67:I69)</f>
        <v>692.84430000000009</v>
      </c>
      <c r="J70" s="47">
        <f t="shared" ref="J70:K70" si="23">SUM(J67:J69)</f>
        <v>543.73662000000002</v>
      </c>
      <c r="K70" s="47">
        <f t="shared" si="23"/>
        <v>394.91470800000002</v>
      </c>
      <c r="L70" s="16"/>
      <c r="M70" s="16"/>
      <c r="N70" s="16"/>
    </row>
    <row r="71" spans="1:14" x14ac:dyDescent="0.35">
      <c r="A71" s="1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16"/>
      <c r="M71" s="16"/>
      <c r="N71" s="16"/>
    </row>
    <row r="72" spans="1:14" x14ac:dyDescent="0.35">
      <c r="A72" s="1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16"/>
      <c r="M72" s="16"/>
      <c r="N72" s="16"/>
    </row>
    <row r="73" spans="1:14" x14ac:dyDescent="0.35">
      <c r="A73" s="55" t="s">
        <v>337</v>
      </c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16"/>
      <c r="M73" s="16"/>
      <c r="N73" s="16"/>
    </row>
    <row r="74" spans="1:14" x14ac:dyDescent="0.35">
      <c r="A74" s="16" t="s">
        <v>346</v>
      </c>
      <c r="B74" s="46">
        <v>3500</v>
      </c>
      <c r="C74" s="46"/>
      <c r="D74" s="46"/>
      <c r="E74" s="46"/>
      <c r="F74" s="46"/>
      <c r="G74" s="46"/>
      <c r="H74" s="46"/>
      <c r="I74" s="46"/>
      <c r="J74" s="46"/>
      <c r="K74" s="46"/>
      <c r="L74" s="16"/>
      <c r="M74" s="16"/>
      <c r="N74" s="16"/>
    </row>
    <row r="75" spans="1:14" x14ac:dyDescent="0.35">
      <c r="A75" s="46" t="s">
        <v>338</v>
      </c>
      <c r="B75" s="46">
        <v>3000</v>
      </c>
      <c r="C75" s="4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</row>
    <row r="76" spans="1:14" x14ac:dyDescent="0.35">
      <c r="A76" s="16" t="s">
        <v>339</v>
      </c>
      <c r="B76" s="46">
        <f>B75*12</f>
        <v>36000</v>
      </c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</row>
    <row r="77" spans="1:14" x14ac:dyDescent="0.35">
      <c r="A77" s="16" t="s">
        <v>340</v>
      </c>
      <c r="B77" s="16">
        <v>125</v>
      </c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</row>
    <row r="78" spans="1:14" x14ac:dyDescent="0.35">
      <c r="A78" s="16" t="s">
        <v>341</v>
      </c>
      <c r="B78" s="16">
        <v>3</v>
      </c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</row>
    <row r="79" spans="1:14" x14ac:dyDescent="0.35">
      <c r="A79" s="1"/>
      <c r="B79" s="1"/>
      <c r="C79" s="1"/>
      <c r="D79" s="55" t="s">
        <v>342</v>
      </c>
      <c r="E79" s="55"/>
      <c r="F79" s="1"/>
      <c r="G79" s="1"/>
      <c r="H79" s="1"/>
      <c r="I79" s="1"/>
      <c r="J79" s="1"/>
      <c r="K79" s="1"/>
      <c r="L79" s="16"/>
      <c r="M79" s="16"/>
      <c r="N79" s="16"/>
    </row>
    <row r="80" spans="1:14" x14ac:dyDescent="0.35">
      <c r="A80" s="16"/>
      <c r="B80" s="27"/>
      <c r="C80" s="16"/>
      <c r="D80" s="16"/>
      <c r="E80" s="16"/>
      <c r="F80" s="76"/>
      <c r="G80" s="76"/>
      <c r="H80" s="42">
        <v>2026</v>
      </c>
      <c r="I80" s="42">
        <v>2027</v>
      </c>
      <c r="J80" s="42">
        <v>2028</v>
      </c>
      <c r="K80" s="16"/>
      <c r="L80" s="16"/>
      <c r="M80" s="16"/>
      <c r="N80" s="16"/>
    </row>
    <row r="81" spans="1:14" x14ac:dyDescent="0.35">
      <c r="A81" s="16" t="s">
        <v>343</v>
      </c>
      <c r="B81" s="27"/>
      <c r="C81" s="16"/>
      <c r="D81" s="16"/>
      <c r="E81" s="16"/>
      <c r="F81" s="76"/>
      <c r="G81" s="76"/>
      <c r="H81" s="16">
        <f>H48*1000</f>
        <v>3575</v>
      </c>
      <c r="I81" s="16">
        <f>I48*1000</f>
        <v>3375</v>
      </c>
      <c r="J81" s="16">
        <f>J48*1000</f>
        <v>3712.5000000000005</v>
      </c>
      <c r="K81" s="16"/>
      <c r="L81" s="16"/>
      <c r="M81" s="16"/>
      <c r="N81" s="16"/>
    </row>
    <row r="82" spans="1:14" x14ac:dyDescent="0.35">
      <c r="A82" s="16" t="s">
        <v>344</v>
      </c>
      <c r="B82" s="27"/>
      <c r="C82" s="16"/>
      <c r="D82" s="16"/>
      <c r="E82" s="16"/>
      <c r="F82" s="76"/>
      <c r="G82" s="76"/>
      <c r="H82" s="16">
        <v>3500</v>
      </c>
      <c r="I82" s="16">
        <v>3500</v>
      </c>
      <c r="J82" s="16">
        <v>3500</v>
      </c>
      <c r="K82" s="16"/>
      <c r="L82" s="16"/>
      <c r="M82" s="16"/>
      <c r="N82" s="16"/>
    </row>
    <row r="83" spans="1:14" x14ac:dyDescent="0.35">
      <c r="A83" s="16" t="s">
        <v>345</v>
      </c>
      <c r="B83" s="27"/>
      <c r="C83" s="16"/>
      <c r="D83" s="16"/>
      <c r="E83" s="16"/>
      <c r="F83" s="76"/>
      <c r="G83" s="76"/>
      <c r="H83" s="16">
        <f>H81-H82</f>
        <v>75</v>
      </c>
      <c r="I83" s="16">
        <f t="shared" ref="I83:J83" si="24">I81-I82</f>
        <v>-125</v>
      </c>
      <c r="J83" s="16">
        <f t="shared" si="24"/>
        <v>212.50000000000045</v>
      </c>
      <c r="K83" s="16"/>
      <c r="L83" s="16"/>
      <c r="M83" s="16"/>
      <c r="N83" s="16"/>
    </row>
    <row r="84" spans="1:14" x14ac:dyDescent="0.35">
      <c r="A84" s="16" t="s">
        <v>347</v>
      </c>
      <c r="B84" s="27"/>
      <c r="C84" s="16"/>
      <c r="D84" s="16"/>
      <c r="E84" s="16"/>
      <c r="F84" s="76"/>
      <c r="G84" s="76"/>
      <c r="H84" s="16">
        <v>125</v>
      </c>
      <c r="I84" s="16">
        <v>125</v>
      </c>
      <c r="J84" s="16">
        <v>125</v>
      </c>
      <c r="K84" s="16"/>
      <c r="L84" s="16"/>
      <c r="M84" s="16"/>
      <c r="N84" s="16"/>
    </row>
    <row r="85" spans="1:14" x14ac:dyDescent="0.35">
      <c r="A85" s="16" t="s">
        <v>348</v>
      </c>
      <c r="B85" s="27"/>
      <c r="C85" s="16"/>
      <c r="D85" s="16"/>
      <c r="E85" s="16"/>
      <c r="F85" s="76"/>
      <c r="G85" s="76"/>
      <c r="H85" s="16">
        <f>H83-H84</f>
        <v>-50</v>
      </c>
      <c r="I85" s="16">
        <f t="shared" ref="I85:J85" si="25">I83-I84</f>
        <v>-250</v>
      </c>
      <c r="J85" s="16">
        <f t="shared" si="25"/>
        <v>87.500000000000455</v>
      </c>
      <c r="K85" s="16"/>
      <c r="L85" s="16"/>
      <c r="M85" s="16"/>
      <c r="N85" s="16"/>
    </row>
    <row r="86" spans="1:14" x14ac:dyDescent="0.35">
      <c r="A86" s="16" t="s">
        <v>350</v>
      </c>
      <c r="B86" s="27"/>
      <c r="C86" s="16"/>
      <c r="D86" s="16"/>
      <c r="E86" s="16"/>
      <c r="F86" s="76"/>
      <c r="G86" s="76"/>
      <c r="H86" s="46">
        <f>B76</f>
        <v>36000</v>
      </c>
      <c r="I86" s="46">
        <f>B76</f>
        <v>36000</v>
      </c>
      <c r="J86" s="46">
        <f>B76</f>
        <v>36000</v>
      </c>
      <c r="K86" s="16"/>
      <c r="L86" s="16"/>
      <c r="M86" s="16"/>
      <c r="N86" s="16"/>
    </row>
    <row r="87" spans="1:14" x14ac:dyDescent="0.35">
      <c r="A87" s="16" t="s">
        <v>349</v>
      </c>
      <c r="B87" s="27"/>
      <c r="C87" s="16"/>
      <c r="D87" s="16"/>
      <c r="E87" s="16"/>
      <c r="F87" s="76"/>
      <c r="G87" s="76"/>
      <c r="H87" s="16">
        <f>H86*H85</f>
        <v>-1800000</v>
      </c>
      <c r="I87" s="16">
        <f t="shared" ref="I87:J87" si="26">I86*I85</f>
        <v>-9000000</v>
      </c>
      <c r="J87" s="16">
        <f t="shared" si="26"/>
        <v>3150000.0000000163</v>
      </c>
      <c r="K87" s="16"/>
      <c r="L87" s="16"/>
      <c r="M87" s="16"/>
      <c r="N87" s="16"/>
    </row>
    <row r="88" spans="1:14" x14ac:dyDescent="0.35">
      <c r="A88" s="16"/>
      <c r="B88" s="27"/>
      <c r="C88" s="16"/>
      <c r="D88" s="16"/>
      <c r="E88" s="16"/>
      <c r="F88" s="76"/>
      <c r="G88" s="76"/>
      <c r="H88" s="16"/>
      <c r="I88" s="16"/>
      <c r="J88" s="16"/>
      <c r="K88" s="16"/>
      <c r="L88" s="16"/>
      <c r="M88" s="16"/>
      <c r="N88" s="16"/>
    </row>
    <row r="89" spans="1:14" x14ac:dyDescent="0.35">
      <c r="A89" s="16"/>
      <c r="B89" s="27"/>
      <c r="C89" s="16"/>
      <c r="D89" s="16"/>
      <c r="E89" s="16"/>
      <c r="F89" s="76"/>
      <c r="G89" s="76"/>
      <c r="H89" s="16"/>
      <c r="I89" s="16"/>
      <c r="J89" s="16"/>
      <c r="K89" s="16"/>
      <c r="L89" s="16"/>
      <c r="M89" s="16"/>
      <c r="N89" s="16"/>
    </row>
    <row r="90" spans="1:14" x14ac:dyDescent="0.35">
      <c r="A90" s="117"/>
      <c r="B90" s="27"/>
      <c r="C90" s="16"/>
      <c r="D90" s="16"/>
      <c r="E90" s="16"/>
      <c r="F90" s="76"/>
      <c r="G90" s="76"/>
      <c r="H90" s="16"/>
      <c r="I90" s="16"/>
      <c r="J90" s="16"/>
      <c r="K90" s="16"/>
      <c r="L90" s="16"/>
      <c r="M90" s="16"/>
      <c r="N90" s="16"/>
    </row>
    <row r="91" spans="1:14" x14ac:dyDescent="0.35">
      <c r="A91" s="16"/>
      <c r="B91" s="27"/>
      <c r="C91" s="16"/>
      <c r="D91" s="16"/>
      <c r="E91" s="16"/>
      <c r="F91" s="76"/>
      <c r="G91" s="76"/>
      <c r="H91" s="16"/>
      <c r="I91" s="16"/>
      <c r="J91" s="16"/>
      <c r="K91" s="16"/>
      <c r="L91" s="16"/>
      <c r="M91" s="16"/>
      <c r="N91" s="16"/>
    </row>
    <row r="92" spans="1:14" x14ac:dyDescent="0.35">
      <c r="A92" s="16"/>
      <c r="B92" s="16"/>
      <c r="C92" s="76"/>
      <c r="D92" s="76"/>
      <c r="E92" s="16"/>
      <c r="F92" s="16"/>
      <c r="G92" s="16"/>
      <c r="H92" s="16"/>
      <c r="I92" s="16"/>
      <c r="J92" s="16"/>
      <c r="K92" s="16"/>
    </row>
    <row r="93" spans="1:14" x14ac:dyDescent="0.35">
      <c r="A93" s="16"/>
      <c r="B93" s="16"/>
      <c r="C93" s="76"/>
      <c r="D93" s="76"/>
      <c r="E93" s="16"/>
      <c r="F93" s="16"/>
      <c r="G93" s="16"/>
      <c r="H93" s="16"/>
      <c r="I93" s="16"/>
      <c r="J93" s="16"/>
      <c r="K93" s="16"/>
    </row>
    <row r="94" spans="1:14" x14ac:dyDescent="0.35">
      <c r="A94" s="16"/>
      <c r="B94" s="16"/>
      <c r="C94" s="76"/>
      <c r="D94" s="76"/>
      <c r="E94" s="16"/>
      <c r="F94" s="16"/>
      <c r="G94" s="16"/>
      <c r="H94" s="16"/>
      <c r="I94" s="16"/>
      <c r="J94" s="16"/>
      <c r="K94" s="16"/>
    </row>
    <row r="95" spans="1:14" x14ac:dyDescent="0.35">
      <c r="A95" s="16"/>
      <c r="B95" s="16"/>
      <c r="C95" s="76"/>
      <c r="D95" s="76"/>
      <c r="E95" s="16"/>
      <c r="F95" s="16"/>
      <c r="G95" s="16"/>
      <c r="H95" s="16"/>
      <c r="I95" s="16"/>
      <c r="J95" s="16"/>
      <c r="K95" s="16"/>
    </row>
    <row r="96" spans="1:14" x14ac:dyDescent="0.35">
      <c r="A96" s="16"/>
      <c r="B96" s="16"/>
      <c r="C96" s="76"/>
      <c r="D96" s="76"/>
      <c r="E96" s="16"/>
      <c r="F96" s="16"/>
      <c r="G96" s="16"/>
      <c r="H96" s="16"/>
      <c r="I96" s="16"/>
      <c r="J96" s="16"/>
      <c r="K96" s="16"/>
    </row>
    <row r="97" spans="1:14" x14ac:dyDescent="0.35">
      <c r="A97" s="16"/>
      <c r="B97" s="16"/>
      <c r="C97" s="76"/>
      <c r="D97" s="76"/>
      <c r="E97" s="16"/>
      <c r="F97" s="16"/>
      <c r="G97" s="16"/>
      <c r="H97" s="16"/>
      <c r="I97" s="16"/>
      <c r="J97" s="16"/>
      <c r="K97" s="16"/>
    </row>
    <row r="98" spans="1:14" x14ac:dyDescent="0.35">
      <c r="A98" s="34" t="s">
        <v>483</v>
      </c>
      <c r="B98" s="31"/>
      <c r="C98" s="31"/>
      <c r="D98" s="31"/>
      <c r="E98" s="31" t="s">
        <v>484</v>
      </c>
      <c r="F98" s="31" t="s">
        <v>485</v>
      </c>
      <c r="G98" s="31" t="s">
        <v>486</v>
      </c>
      <c r="H98" s="121" t="s">
        <v>487</v>
      </c>
      <c r="I98" s="16"/>
      <c r="J98" s="16"/>
      <c r="K98" s="16"/>
    </row>
    <row r="99" spans="1:14" x14ac:dyDescent="0.35">
      <c r="A99" s="33" t="s">
        <v>488</v>
      </c>
      <c r="B99" s="32" t="s">
        <v>94</v>
      </c>
      <c r="C99" s="32" t="s">
        <v>489</v>
      </c>
      <c r="D99" s="32"/>
      <c r="E99" s="32" t="s">
        <v>490</v>
      </c>
      <c r="F99" s="32" t="s">
        <v>491</v>
      </c>
      <c r="G99" s="32" t="s">
        <v>492</v>
      </c>
      <c r="H99" s="120" t="s">
        <v>493</v>
      </c>
      <c r="I99" s="16"/>
      <c r="J99" s="16"/>
      <c r="K99" s="16"/>
    </row>
    <row r="100" spans="1:14" x14ac:dyDescent="0.35">
      <c r="A100" s="34" t="s">
        <v>494</v>
      </c>
      <c r="B100" s="31"/>
      <c r="C100" s="31"/>
      <c r="D100" s="31"/>
      <c r="E100" s="31"/>
      <c r="F100" s="31"/>
      <c r="G100" s="31"/>
      <c r="H100" s="121"/>
      <c r="I100" s="16"/>
      <c r="J100" s="16"/>
      <c r="K100" s="16"/>
    </row>
    <row r="101" spans="1:14" x14ac:dyDescent="0.35">
      <c r="A101" s="33" t="s">
        <v>495</v>
      </c>
      <c r="B101" s="32"/>
      <c r="C101" s="32"/>
      <c r="D101" s="32"/>
      <c r="E101" s="32" t="s">
        <v>496</v>
      </c>
      <c r="F101" s="32" t="s">
        <v>497</v>
      </c>
      <c r="G101" s="32" t="s">
        <v>498</v>
      </c>
      <c r="H101" s="120" t="s">
        <v>499</v>
      </c>
      <c r="I101" s="16"/>
    </row>
    <row r="102" spans="1:14" x14ac:dyDescent="0.35">
      <c r="A102" s="34" t="s">
        <v>500</v>
      </c>
      <c r="B102" s="31"/>
      <c r="C102" s="31"/>
      <c r="D102" s="31"/>
      <c r="E102" s="31" t="s">
        <v>501</v>
      </c>
      <c r="F102" s="31" t="s">
        <v>502</v>
      </c>
      <c r="G102" s="31" t="s">
        <v>503</v>
      </c>
      <c r="H102" s="121" t="s">
        <v>504</v>
      </c>
      <c r="I102" s="16"/>
      <c r="J102" s="16"/>
      <c r="K102" s="16"/>
      <c r="L102" s="16"/>
    </row>
    <row r="103" spans="1:14" x14ac:dyDescent="0.35">
      <c r="A103" s="33" t="s">
        <v>505</v>
      </c>
      <c r="B103" s="32" t="s">
        <v>506</v>
      </c>
      <c r="C103" s="32" t="s">
        <v>507</v>
      </c>
      <c r="D103" s="32" t="s">
        <v>508</v>
      </c>
      <c r="E103" s="32" t="s">
        <v>509</v>
      </c>
      <c r="F103" s="32" t="s">
        <v>509</v>
      </c>
      <c r="G103" s="32" t="s">
        <v>509</v>
      </c>
      <c r="H103" s="120" t="s">
        <v>509</v>
      </c>
      <c r="I103" s="16"/>
      <c r="J103" s="16"/>
      <c r="K103" s="16"/>
      <c r="L103" s="16"/>
    </row>
    <row r="104" spans="1:14" x14ac:dyDescent="0.35">
      <c r="A104" s="34" t="s">
        <v>510</v>
      </c>
      <c r="B104" s="31"/>
      <c r="C104" s="31"/>
      <c r="D104" s="31"/>
      <c r="E104" s="31"/>
      <c r="F104" s="31"/>
      <c r="G104" s="31"/>
      <c r="H104" s="121"/>
      <c r="I104" s="16"/>
      <c r="J104" s="16"/>
      <c r="K104" s="16"/>
      <c r="L104" s="16"/>
    </row>
    <row r="105" spans="1:14" x14ac:dyDescent="0.35">
      <c r="A105" s="33" t="s">
        <v>505</v>
      </c>
      <c r="B105" s="32" t="s">
        <v>506</v>
      </c>
      <c r="C105" s="32" t="s">
        <v>507</v>
      </c>
      <c r="D105" s="32" t="s">
        <v>508</v>
      </c>
      <c r="E105" s="32" t="s">
        <v>511</v>
      </c>
      <c r="F105" s="32" t="s">
        <v>512</v>
      </c>
      <c r="G105" s="32" t="s">
        <v>513</v>
      </c>
      <c r="H105" s="120" t="s">
        <v>513</v>
      </c>
      <c r="I105" s="16"/>
      <c r="J105" s="16"/>
      <c r="K105" s="16"/>
      <c r="L105" s="16"/>
    </row>
    <row r="106" spans="1:14" x14ac:dyDescent="0.35">
      <c r="A106" s="16"/>
      <c r="B106" s="16"/>
      <c r="C106" s="16"/>
      <c r="D106" s="76"/>
      <c r="E106" s="76"/>
      <c r="F106" s="16"/>
      <c r="G106" s="16"/>
      <c r="H106" s="16"/>
      <c r="I106" s="16"/>
      <c r="J106" s="16"/>
      <c r="K106" s="16"/>
      <c r="L106" s="16"/>
    </row>
    <row r="107" spans="1:14" x14ac:dyDescent="0.35">
      <c r="A107" s="16"/>
      <c r="B107" s="16"/>
      <c r="C107" s="16"/>
      <c r="D107" s="76"/>
      <c r="E107" s="76"/>
      <c r="F107" s="16"/>
      <c r="G107" s="16"/>
      <c r="H107" s="16"/>
      <c r="I107" s="16"/>
      <c r="J107" s="16"/>
      <c r="K107" s="16"/>
      <c r="L107" s="16"/>
    </row>
    <row r="108" spans="1:14" x14ac:dyDescent="0.35">
      <c r="A108" s="16"/>
      <c r="B108" s="16"/>
      <c r="C108" s="16"/>
      <c r="D108" s="76"/>
      <c r="E108" s="76"/>
      <c r="F108" s="16"/>
      <c r="G108" s="16"/>
      <c r="H108" s="16"/>
      <c r="I108" s="16"/>
      <c r="J108" s="16"/>
      <c r="K108" s="16"/>
      <c r="L108" s="16"/>
    </row>
    <row r="109" spans="1:14" x14ac:dyDescent="0.35">
      <c r="A109" s="16"/>
      <c r="B109" s="27"/>
      <c r="C109" s="16"/>
      <c r="D109" s="16"/>
      <c r="E109" s="16"/>
      <c r="F109" s="76"/>
      <c r="G109" s="76"/>
      <c r="H109" s="16"/>
      <c r="I109" s="16"/>
      <c r="J109" s="16"/>
      <c r="K109" s="16"/>
      <c r="L109" s="16"/>
      <c r="M109" s="16"/>
      <c r="N109" s="16"/>
    </row>
    <row r="110" spans="1:14" x14ac:dyDescent="0.35">
      <c r="A110" s="16"/>
      <c r="B110" s="27"/>
      <c r="C110" s="16"/>
      <c r="D110" s="16"/>
      <c r="E110" s="16"/>
      <c r="F110" s="76"/>
      <c r="G110" s="76"/>
      <c r="H110" s="16"/>
      <c r="I110" s="16"/>
      <c r="J110" s="16"/>
      <c r="K110" s="16"/>
      <c r="L110" s="16"/>
      <c r="M110" s="16"/>
      <c r="N110" s="16"/>
    </row>
    <row r="111" spans="1:14" x14ac:dyDescent="0.35">
      <c r="A111" s="16"/>
      <c r="B111" s="27"/>
      <c r="C111" s="16"/>
      <c r="D111" s="16"/>
      <c r="E111" s="16"/>
      <c r="F111" s="76"/>
      <c r="G111" s="76"/>
      <c r="H111" s="16"/>
      <c r="I111" s="16"/>
      <c r="J111" s="16"/>
      <c r="K111" s="16"/>
      <c r="L111" s="16"/>
      <c r="M111" s="16"/>
      <c r="N111" s="16"/>
    </row>
    <row r="112" spans="1:14" x14ac:dyDescent="0.35">
      <c r="A112" s="16"/>
      <c r="B112" s="27"/>
      <c r="C112" s="16"/>
      <c r="D112" s="16"/>
      <c r="E112" s="16"/>
      <c r="F112" s="76"/>
      <c r="G112" s="76"/>
      <c r="H112" s="16"/>
      <c r="I112" s="16"/>
      <c r="J112" s="16"/>
      <c r="K112" s="16"/>
      <c r="L112" s="16"/>
      <c r="M112" s="16"/>
      <c r="N112" s="16"/>
    </row>
    <row r="113" spans="1:14" x14ac:dyDescent="0.35">
      <c r="A113" s="16"/>
      <c r="B113" s="27"/>
      <c r="C113" s="16"/>
      <c r="D113" s="16"/>
      <c r="E113" s="16"/>
      <c r="F113" s="76"/>
      <c r="G113" s="76"/>
      <c r="H113" s="16"/>
      <c r="I113" s="16"/>
      <c r="J113" s="16"/>
      <c r="K113" s="16"/>
      <c r="L113" s="16"/>
      <c r="M113" s="16"/>
      <c r="N113" s="16"/>
    </row>
    <row r="114" spans="1:14" x14ac:dyDescent="0.35">
      <c r="A114" s="16"/>
      <c r="B114" s="27"/>
      <c r="C114" s="16"/>
      <c r="D114" s="16"/>
      <c r="E114" s="16"/>
      <c r="F114" s="76"/>
      <c r="G114" s="76"/>
      <c r="H114" s="16"/>
      <c r="I114" s="16"/>
      <c r="J114" s="16"/>
      <c r="K114" s="16"/>
      <c r="L114" s="16"/>
      <c r="M114" s="16"/>
      <c r="N114" s="16"/>
    </row>
    <row r="115" spans="1:14" x14ac:dyDescent="0.35">
      <c r="A115" s="16"/>
      <c r="B115" s="27"/>
      <c r="C115" s="16"/>
      <c r="D115" s="16"/>
      <c r="E115" s="16"/>
      <c r="F115" s="76"/>
      <c r="G115" s="76"/>
      <c r="H115" s="16"/>
      <c r="I115" s="16"/>
      <c r="J115" s="16"/>
      <c r="K115" s="16"/>
      <c r="L115" s="16"/>
    </row>
    <row r="116" spans="1:14" x14ac:dyDescent="0.35">
      <c r="A116" s="16"/>
      <c r="B116" s="27"/>
      <c r="C116" s="16"/>
      <c r="D116" s="16"/>
      <c r="E116" s="16"/>
      <c r="F116" s="76"/>
      <c r="G116" s="76"/>
      <c r="H116" s="16"/>
      <c r="I116" s="16"/>
      <c r="J116" s="16"/>
      <c r="K116" s="16"/>
      <c r="L116" s="16"/>
    </row>
    <row r="117" spans="1:14" x14ac:dyDescent="0.35">
      <c r="A117" s="16"/>
      <c r="B117" s="27"/>
      <c r="C117" s="16"/>
      <c r="D117" s="16"/>
      <c r="E117" s="16"/>
      <c r="F117" s="76"/>
      <c r="G117" s="76"/>
      <c r="H117" s="16"/>
      <c r="I117" s="16"/>
      <c r="J117" s="16"/>
      <c r="K117" s="16"/>
      <c r="L117" s="16"/>
    </row>
    <row r="118" spans="1:14" x14ac:dyDescent="0.35">
      <c r="A118" s="16"/>
      <c r="B118" s="27"/>
      <c r="C118" s="16"/>
      <c r="D118" s="16"/>
      <c r="E118" s="16"/>
      <c r="F118" s="76"/>
      <c r="G118" s="76"/>
      <c r="H118" s="16"/>
      <c r="I118" s="16"/>
      <c r="J118" s="16"/>
      <c r="K118" s="16"/>
      <c r="L118" s="16"/>
    </row>
    <row r="119" spans="1:14" x14ac:dyDescent="0.35">
      <c r="A119" s="16"/>
      <c r="B119" s="27"/>
      <c r="C119" s="16"/>
      <c r="D119" s="16"/>
      <c r="E119" s="16"/>
      <c r="F119" s="76"/>
      <c r="G119" s="76"/>
      <c r="H119" s="16"/>
      <c r="I119" s="16"/>
      <c r="J119" s="16"/>
      <c r="K119" s="16"/>
      <c r="L119" s="16"/>
    </row>
    <row r="120" spans="1:14" x14ac:dyDescent="0.35">
      <c r="A120" s="16"/>
      <c r="B120" s="27"/>
      <c r="C120" s="16"/>
      <c r="D120" s="16"/>
      <c r="E120" s="16"/>
      <c r="F120" s="76"/>
      <c r="G120" s="76"/>
      <c r="H120" s="16"/>
      <c r="I120" s="16"/>
      <c r="J120" s="16"/>
      <c r="K120" s="16"/>
      <c r="L120" s="16"/>
    </row>
    <row r="121" spans="1:14" x14ac:dyDescent="0.35">
      <c r="A121" s="16"/>
      <c r="B121" s="27"/>
      <c r="C121" s="16"/>
      <c r="D121" s="16"/>
      <c r="E121" s="16"/>
      <c r="F121" s="76"/>
      <c r="G121" s="76"/>
      <c r="H121" s="16"/>
      <c r="I121" s="16"/>
      <c r="J121" s="16"/>
      <c r="K121" s="16"/>
      <c r="L121" s="16"/>
    </row>
    <row r="122" spans="1:14" x14ac:dyDescent="0.35">
      <c r="A122" s="16"/>
      <c r="B122" s="27"/>
      <c r="C122" s="16"/>
      <c r="D122" s="16"/>
      <c r="E122" s="16"/>
      <c r="F122" s="76"/>
      <c r="G122" s="76"/>
      <c r="H122" s="16"/>
      <c r="I122" s="16"/>
      <c r="J122" s="16"/>
      <c r="K122" s="16"/>
      <c r="L122" s="16"/>
    </row>
    <row r="123" spans="1:14" x14ac:dyDescent="0.35">
      <c r="A123" s="16"/>
      <c r="B123" s="27"/>
      <c r="C123" s="16"/>
      <c r="D123" s="16"/>
      <c r="E123" s="16"/>
      <c r="F123" s="76"/>
      <c r="G123" s="76"/>
      <c r="H123" s="16"/>
      <c r="I123" s="16"/>
      <c r="J123" s="16"/>
      <c r="K123" s="16"/>
      <c r="L123" s="16"/>
    </row>
    <row r="124" spans="1:14" x14ac:dyDescent="0.35">
      <c r="A124" s="16"/>
      <c r="B124" s="27"/>
      <c r="C124" s="16"/>
      <c r="D124" s="16"/>
      <c r="E124" s="16"/>
      <c r="F124" s="76"/>
      <c r="G124" s="76"/>
      <c r="H124" s="16"/>
      <c r="I124" s="16"/>
      <c r="J124" s="16"/>
      <c r="K124" s="16"/>
      <c r="L124" s="16"/>
    </row>
    <row r="125" spans="1:14" x14ac:dyDescent="0.35">
      <c r="A125" s="16"/>
      <c r="B125" s="27"/>
      <c r="C125" s="16"/>
      <c r="D125" s="16"/>
      <c r="E125" s="16"/>
      <c r="F125" s="76"/>
      <c r="G125" s="76"/>
      <c r="H125" s="16"/>
      <c r="I125" s="16"/>
      <c r="J125" s="16"/>
      <c r="K125" s="16"/>
      <c r="L125" s="16"/>
    </row>
    <row r="126" spans="1:14" x14ac:dyDescent="0.35">
      <c r="A126" s="16"/>
      <c r="B126" s="27"/>
      <c r="C126" s="16"/>
      <c r="D126" s="16"/>
      <c r="E126" s="16"/>
      <c r="F126" s="76"/>
      <c r="G126" s="76"/>
      <c r="H126" s="16"/>
      <c r="I126" s="16"/>
      <c r="J126" s="16"/>
      <c r="K126" s="16"/>
      <c r="L126" s="16"/>
    </row>
    <row r="127" spans="1:14" x14ac:dyDescent="0.35">
      <c r="A127" s="16"/>
      <c r="B127" s="27"/>
      <c r="C127" s="16"/>
      <c r="D127" s="16"/>
      <c r="E127" s="16"/>
      <c r="F127" s="76"/>
      <c r="G127" s="76"/>
      <c r="H127" s="16"/>
      <c r="I127" s="16"/>
      <c r="J127" s="16"/>
      <c r="K127" s="16"/>
      <c r="L127" s="16"/>
    </row>
    <row r="128" spans="1:14" x14ac:dyDescent="0.35">
      <c r="A128" s="16"/>
      <c r="B128" s="27"/>
      <c r="C128" s="16"/>
      <c r="D128" s="16"/>
      <c r="E128" s="16"/>
      <c r="F128" s="76"/>
      <c r="G128" s="76"/>
      <c r="H128" s="16"/>
      <c r="I128" s="16"/>
      <c r="J128" s="16"/>
      <c r="K128" s="16"/>
      <c r="L128" s="16"/>
    </row>
    <row r="129" spans="1:12" x14ac:dyDescent="0.35">
      <c r="A129" s="16"/>
      <c r="B129" s="27"/>
      <c r="C129" s="16"/>
      <c r="D129" s="16"/>
      <c r="E129" s="16"/>
      <c r="F129" s="76"/>
      <c r="G129" s="76"/>
      <c r="H129" s="16"/>
      <c r="I129" s="16"/>
      <c r="J129" s="16"/>
      <c r="K129" s="16"/>
      <c r="L129" s="16"/>
    </row>
    <row r="130" spans="1:12" x14ac:dyDescent="0.35">
      <c r="A130" s="16"/>
      <c r="B130" s="27"/>
      <c r="C130" s="16"/>
      <c r="D130" s="16"/>
      <c r="E130" s="16"/>
      <c r="F130" s="76"/>
      <c r="G130" s="76"/>
      <c r="H130" s="16"/>
      <c r="I130" s="16"/>
      <c r="J130" s="16"/>
      <c r="K130" s="16"/>
      <c r="L130" s="16"/>
    </row>
    <row r="131" spans="1:12" x14ac:dyDescent="0.35">
      <c r="A131" s="16"/>
      <c r="B131" s="27"/>
      <c r="C131" s="16"/>
      <c r="D131" s="16"/>
      <c r="E131" s="16"/>
      <c r="F131" s="76"/>
      <c r="G131" s="76"/>
      <c r="H131" s="16"/>
      <c r="I131" s="16"/>
      <c r="J131" s="16"/>
      <c r="K131" s="16"/>
      <c r="L131" s="16"/>
    </row>
    <row r="132" spans="1:12" x14ac:dyDescent="0.35">
      <c r="A132" s="16"/>
      <c r="B132" s="27"/>
      <c r="C132" s="16"/>
      <c r="D132" s="16"/>
      <c r="E132" s="16"/>
      <c r="F132" s="76"/>
      <c r="G132" s="76"/>
      <c r="H132" s="16"/>
      <c r="I132" s="16"/>
      <c r="J132" s="16"/>
      <c r="K132" s="16"/>
      <c r="L132" s="16"/>
    </row>
    <row r="133" spans="1:12" x14ac:dyDescent="0.35">
      <c r="A133" s="16"/>
      <c r="B133" s="27"/>
      <c r="C133" s="16"/>
      <c r="D133" s="16"/>
      <c r="E133" s="16"/>
      <c r="F133" s="76"/>
      <c r="G133" s="76"/>
      <c r="H133" s="16"/>
      <c r="I133" s="16"/>
      <c r="J133" s="16"/>
      <c r="K133" s="16"/>
      <c r="L133" s="16"/>
    </row>
    <row r="134" spans="1:12" x14ac:dyDescent="0.35">
      <c r="A134" s="16"/>
      <c r="B134" s="27"/>
      <c r="C134" s="16"/>
      <c r="D134" s="16"/>
      <c r="E134" s="16"/>
      <c r="F134" s="76"/>
      <c r="G134" s="76"/>
      <c r="H134" s="16"/>
      <c r="I134" s="16"/>
      <c r="J134" s="16"/>
      <c r="K134" s="16"/>
      <c r="L134" s="16"/>
    </row>
    <row r="135" spans="1:12" x14ac:dyDescent="0.35">
      <c r="A135" s="16"/>
      <c r="B135" s="27"/>
      <c r="C135" s="16"/>
      <c r="D135" s="16"/>
      <c r="E135" s="16"/>
      <c r="F135" s="76"/>
      <c r="G135" s="76"/>
      <c r="H135" s="16"/>
      <c r="I135" s="16"/>
      <c r="J135" s="16"/>
      <c r="K135" s="16"/>
      <c r="L135" s="16"/>
    </row>
    <row r="136" spans="1:12" x14ac:dyDescent="0.35">
      <c r="A136" s="16"/>
      <c r="B136" s="27"/>
      <c r="C136" s="16"/>
      <c r="D136" s="16"/>
      <c r="E136" s="16"/>
      <c r="F136" s="76"/>
      <c r="G136" s="76"/>
      <c r="H136" s="16"/>
      <c r="I136" s="16"/>
      <c r="J136" s="16"/>
      <c r="K136" s="16"/>
      <c r="L136" s="16"/>
    </row>
    <row r="137" spans="1:12" x14ac:dyDescent="0.35">
      <c r="A137" s="16"/>
      <c r="B137" s="27"/>
      <c r="C137" s="16"/>
      <c r="D137" s="16"/>
      <c r="E137" s="16"/>
      <c r="F137" s="76"/>
      <c r="G137" s="76"/>
      <c r="H137" s="16"/>
      <c r="I137" s="16"/>
      <c r="J137" s="16"/>
      <c r="K137" s="16"/>
      <c r="L137" s="16"/>
    </row>
    <row r="138" spans="1:12" x14ac:dyDescent="0.35">
      <c r="A138" s="16"/>
      <c r="B138" s="27"/>
      <c r="C138" s="16"/>
      <c r="D138" s="16"/>
      <c r="E138" s="16"/>
      <c r="F138" s="76"/>
      <c r="G138" s="76"/>
      <c r="H138" s="16"/>
      <c r="I138" s="16"/>
      <c r="J138" s="16"/>
      <c r="K138" s="16"/>
      <c r="L138" s="16"/>
    </row>
    <row r="139" spans="1:12" x14ac:dyDescent="0.35">
      <c r="A139" s="16"/>
      <c r="B139" s="27"/>
      <c r="C139" s="16"/>
      <c r="D139" s="16"/>
      <c r="E139" s="16"/>
      <c r="F139" s="76"/>
      <c r="G139" s="76"/>
      <c r="H139" s="16"/>
      <c r="I139" s="16"/>
      <c r="J139" s="16"/>
      <c r="K139" s="16"/>
      <c r="L139" s="16"/>
    </row>
    <row r="140" spans="1:12" x14ac:dyDescent="0.35">
      <c r="A140" s="16"/>
      <c r="B140" s="27"/>
      <c r="C140" s="16"/>
      <c r="D140" s="16"/>
      <c r="E140" s="16"/>
      <c r="F140" s="76"/>
      <c r="G140" s="76"/>
      <c r="H140" s="16"/>
      <c r="I140" s="16"/>
      <c r="J140" s="16"/>
      <c r="K140" s="16"/>
      <c r="L140" s="16"/>
    </row>
    <row r="141" spans="1:12" x14ac:dyDescent="0.35">
      <c r="A141" s="16"/>
      <c r="B141" s="27"/>
      <c r="C141" s="16"/>
      <c r="D141" s="16"/>
      <c r="E141" s="16"/>
      <c r="F141" s="76"/>
      <c r="G141" s="76"/>
      <c r="H141" s="16"/>
      <c r="I141" s="16"/>
      <c r="J141" s="16"/>
      <c r="K141" s="16"/>
      <c r="L141" s="16"/>
    </row>
    <row r="142" spans="1:12" x14ac:dyDescent="0.35">
      <c r="A142" s="16"/>
      <c r="B142" s="27"/>
      <c r="C142" s="16"/>
      <c r="D142" s="16"/>
      <c r="E142" s="16"/>
      <c r="F142" s="76"/>
      <c r="G142" s="76"/>
      <c r="H142" s="16"/>
      <c r="I142" s="16"/>
      <c r="J142" s="16"/>
      <c r="K142" s="16"/>
      <c r="L142" s="16"/>
    </row>
    <row r="143" spans="1:12" x14ac:dyDescent="0.35">
      <c r="A143" s="16"/>
      <c r="B143" s="27"/>
      <c r="C143" s="16"/>
      <c r="D143" s="16"/>
      <c r="E143" s="16"/>
      <c r="F143" s="76"/>
      <c r="G143" s="76"/>
      <c r="H143" s="16"/>
      <c r="I143" s="16"/>
      <c r="J143" s="16"/>
      <c r="K143" s="16"/>
      <c r="L143" s="16"/>
    </row>
    <row r="144" spans="1:12" x14ac:dyDescent="0.35">
      <c r="A144" s="16"/>
      <c r="B144" s="27"/>
      <c r="C144" s="16"/>
      <c r="D144" s="16"/>
      <c r="E144" s="16"/>
      <c r="F144" s="76"/>
      <c r="G144" s="76"/>
      <c r="H144" s="16"/>
      <c r="I144" s="16"/>
      <c r="J144" s="16"/>
      <c r="K144" s="16"/>
      <c r="L144" s="16"/>
    </row>
    <row r="145" spans="1:12" x14ac:dyDescent="0.35">
      <c r="A145" s="16"/>
      <c r="B145" s="27"/>
      <c r="C145" s="16"/>
      <c r="D145" s="16"/>
      <c r="E145" s="16"/>
      <c r="F145" s="76"/>
      <c r="G145" s="76"/>
      <c r="H145" s="16"/>
      <c r="I145" s="16"/>
      <c r="J145" s="16"/>
      <c r="K145" s="16"/>
      <c r="L145" s="16"/>
    </row>
    <row r="146" spans="1:12" x14ac:dyDescent="0.35">
      <c r="A146" s="16"/>
      <c r="B146" s="27"/>
      <c r="C146" s="16"/>
      <c r="D146" s="16"/>
      <c r="E146" s="16"/>
      <c r="F146" s="76"/>
      <c r="G146" s="76"/>
      <c r="H146" s="16"/>
      <c r="I146" s="16"/>
      <c r="J146" s="16"/>
      <c r="K146" s="16"/>
      <c r="L146" s="16"/>
    </row>
    <row r="147" spans="1:12" x14ac:dyDescent="0.35">
      <c r="A147" s="16"/>
      <c r="B147" s="27"/>
      <c r="C147" s="16"/>
      <c r="D147" s="16"/>
      <c r="E147" s="16"/>
      <c r="F147" s="76"/>
      <c r="G147" s="76"/>
      <c r="H147" s="16"/>
      <c r="I147" s="16"/>
      <c r="J147" s="16"/>
      <c r="K147" s="16"/>
      <c r="L147" s="16"/>
    </row>
    <row r="148" spans="1:12" x14ac:dyDescent="0.35">
      <c r="A148" s="16"/>
      <c r="B148" s="27"/>
      <c r="C148" s="16"/>
      <c r="D148" s="16"/>
      <c r="E148" s="16"/>
      <c r="F148" s="76"/>
      <c r="G148" s="76"/>
      <c r="H148" s="16"/>
      <c r="I148" s="16"/>
      <c r="J148" s="16"/>
      <c r="K148" s="16"/>
      <c r="L148" s="16"/>
    </row>
    <row r="149" spans="1:12" x14ac:dyDescent="0.35">
      <c r="A149" s="16"/>
      <c r="B149" s="27"/>
      <c r="C149" s="16"/>
      <c r="D149" s="16"/>
      <c r="E149" s="16"/>
      <c r="F149" s="76"/>
      <c r="G149" s="76"/>
      <c r="H149" s="16"/>
      <c r="I149" s="16"/>
      <c r="J149" s="16"/>
      <c r="K149" s="16"/>
      <c r="L149" s="16"/>
    </row>
    <row r="150" spans="1:12" x14ac:dyDescent="0.35">
      <c r="A150" s="16"/>
      <c r="B150" s="27"/>
      <c r="C150" s="16"/>
      <c r="D150" s="16"/>
      <c r="E150" s="16"/>
      <c r="F150" s="76"/>
      <c r="G150" s="76"/>
      <c r="H150" s="16"/>
      <c r="I150" s="16"/>
      <c r="J150" s="16"/>
      <c r="K150" s="16"/>
      <c r="L150" s="16"/>
    </row>
    <row r="151" spans="1:12" x14ac:dyDescent="0.35">
      <c r="A151" s="16"/>
      <c r="B151" s="27"/>
      <c r="C151" s="16"/>
      <c r="D151" s="16"/>
      <c r="E151" s="16"/>
      <c r="F151" s="76"/>
      <c r="G151" s="76"/>
      <c r="H151" s="16"/>
      <c r="I151" s="16"/>
      <c r="J151" s="16"/>
      <c r="K151" s="16"/>
      <c r="L151" s="16"/>
    </row>
    <row r="152" spans="1:12" x14ac:dyDescent="0.35">
      <c r="A152" s="16"/>
      <c r="B152" s="27"/>
      <c r="C152" s="16"/>
      <c r="D152" s="16"/>
      <c r="E152" s="16"/>
      <c r="F152" s="76"/>
      <c r="G152" s="76"/>
      <c r="H152" s="16"/>
      <c r="I152" s="16"/>
      <c r="J152" s="16"/>
      <c r="K152" s="16"/>
      <c r="L152" s="16"/>
    </row>
    <row r="153" spans="1:12" x14ac:dyDescent="0.35">
      <c r="A153" s="16"/>
      <c r="B153" s="27"/>
      <c r="C153" s="16"/>
      <c r="D153" s="16"/>
      <c r="E153" s="16"/>
      <c r="F153" s="76"/>
      <c r="G153" s="76"/>
      <c r="H153" s="16"/>
      <c r="I153" s="16"/>
      <c r="J153" s="16"/>
      <c r="K153" s="16"/>
      <c r="L153" s="16"/>
    </row>
    <row r="154" spans="1:12" x14ac:dyDescent="0.35">
      <c r="A154" s="16"/>
      <c r="B154" s="27"/>
      <c r="C154" s="16"/>
      <c r="D154" s="16"/>
      <c r="E154" s="16"/>
      <c r="F154" s="76"/>
      <c r="G154" s="76"/>
      <c r="H154" s="16"/>
      <c r="I154" s="16"/>
      <c r="J154" s="16"/>
      <c r="K154" s="16"/>
      <c r="L154" s="16"/>
    </row>
    <row r="155" spans="1:12" x14ac:dyDescent="0.35">
      <c r="A155" s="16"/>
      <c r="B155" s="27"/>
      <c r="C155" s="16"/>
      <c r="D155" s="16"/>
      <c r="E155" s="16"/>
      <c r="F155" s="76"/>
      <c r="G155" s="76"/>
      <c r="H155" s="16"/>
      <c r="I155" s="16"/>
      <c r="J155" s="16"/>
      <c r="K155" s="16"/>
      <c r="L155" s="16"/>
    </row>
    <row r="156" spans="1:12" x14ac:dyDescent="0.35">
      <c r="A156" s="16"/>
      <c r="B156" s="27"/>
      <c r="C156" s="16"/>
      <c r="D156" s="16"/>
      <c r="E156" s="16"/>
      <c r="F156" s="76"/>
      <c r="G156" s="76"/>
      <c r="H156" s="16"/>
      <c r="I156" s="16"/>
      <c r="J156" s="16"/>
      <c r="K156" s="16"/>
      <c r="L156" s="16"/>
    </row>
    <row r="157" spans="1:12" x14ac:dyDescent="0.35">
      <c r="A157" s="16"/>
      <c r="B157" s="27"/>
      <c r="C157" s="16"/>
      <c r="D157" s="16"/>
      <c r="E157" s="16"/>
      <c r="F157" s="76"/>
      <c r="G157" s="76"/>
      <c r="H157" s="16"/>
      <c r="I157" s="16"/>
      <c r="J157" s="16"/>
      <c r="K157" s="16"/>
      <c r="L157" s="16"/>
    </row>
    <row r="158" spans="1:12" x14ac:dyDescent="0.35">
      <c r="A158" s="16"/>
      <c r="B158" s="27"/>
      <c r="C158" s="16"/>
      <c r="D158" s="16"/>
      <c r="E158" s="16"/>
      <c r="F158" s="76"/>
      <c r="G158" s="76"/>
      <c r="H158" s="16"/>
      <c r="I158" s="16"/>
      <c r="J158" s="16"/>
      <c r="K158" s="16"/>
      <c r="L158" s="16"/>
    </row>
    <row r="159" spans="1:12" x14ac:dyDescent="0.35">
      <c r="A159" s="16"/>
      <c r="B159" s="27"/>
      <c r="C159" s="16"/>
      <c r="D159" s="16"/>
      <c r="E159" s="16"/>
      <c r="F159" s="76"/>
      <c r="G159" s="76"/>
      <c r="H159" s="16"/>
      <c r="I159" s="16"/>
      <c r="J159" s="16"/>
      <c r="K159" s="16"/>
      <c r="L159" s="16"/>
    </row>
    <row r="160" spans="1:12" x14ac:dyDescent="0.35">
      <c r="A160" s="16"/>
      <c r="B160" s="27"/>
      <c r="C160" s="16"/>
      <c r="D160" s="16"/>
      <c r="E160" s="16"/>
      <c r="F160" s="76"/>
      <c r="G160" s="76"/>
      <c r="H160" s="16"/>
      <c r="I160" s="16"/>
      <c r="J160" s="16"/>
      <c r="K160" s="16"/>
      <c r="L160" s="16"/>
    </row>
    <row r="161" spans="1:12" x14ac:dyDescent="0.35">
      <c r="A161" s="16"/>
      <c r="B161" s="27"/>
      <c r="C161" s="16"/>
      <c r="D161" s="16"/>
      <c r="E161" s="16"/>
      <c r="F161" s="76"/>
      <c r="G161" s="76"/>
      <c r="H161" s="16"/>
      <c r="I161" s="16"/>
      <c r="J161" s="16"/>
      <c r="K161" s="16"/>
      <c r="L161" s="16"/>
    </row>
    <row r="162" spans="1:12" x14ac:dyDescent="0.35">
      <c r="A162" s="16"/>
      <c r="B162" s="27"/>
      <c r="C162" s="16"/>
      <c r="D162" s="16"/>
      <c r="E162" s="16"/>
      <c r="F162" s="76"/>
      <c r="G162" s="76"/>
      <c r="H162" s="16"/>
      <c r="I162" s="16"/>
      <c r="J162" s="16"/>
      <c r="K162" s="16"/>
      <c r="L162" s="16"/>
    </row>
    <row r="163" spans="1:12" x14ac:dyDescent="0.35">
      <c r="A163" s="16"/>
      <c r="B163" s="27"/>
      <c r="C163" s="16"/>
      <c r="D163" s="16"/>
      <c r="E163" s="16"/>
      <c r="F163" s="76"/>
      <c r="G163" s="76"/>
      <c r="H163" s="16"/>
      <c r="I163" s="16"/>
      <c r="J163" s="16"/>
      <c r="K163" s="16"/>
      <c r="L163" s="16"/>
    </row>
  </sheetData>
  <phoneticPr fontId="9" type="noConversion"/>
  <pageMargins left="0.75" right="0.75" top="1" bottom="1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882D7-6AB5-4A63-9746-9A48E28D8B87}">
  <dimension ref="A2:I16"/>
  <sheetViews>
    <sheetView workbookViewId="0">
      <selection activeCell="E14" sqref="E14"/>
    </sheetView>
  </sheetViews>
  <sheetFormatPr defaultRowHeight="14.5" x14ac:dyDescent="0.35"/>
  <cols>
    <col min="5" max="5" width="11.7265625" customWidth="1"/>
    <col min="6" max="9" width="9.36328125" bestFit="1" customWidth="1"/>
  </cols>
  <sheetData>
    <row r="2" spans="1:9" x14ac:dyDescent="0.35">
      <c r="A2" s="54" t="s">
        <v>600</v>
      </c>
      <c r="B2" s="1"/>
      <c r="C2" s="1"/>
      <c r="D2" s="1"/>
      <c r="E2" s="54">
        <v>2025</v>
      </c>
      <c r="F2" s="54">
        <v>2026</v>
      </c>
      <c r="G2" s="54">
        <v>2027</v>
      </c>
      <c r="H2" s="54">
        <v>2028</v>
      </c>
      <c r="I2" s="54">
        <v>2029</v>
      </c>
    </row>
    <row r="3" spans="1:9" x14ac:dyDescent="0.35">
      <c r="A3" t="s">
        <v>601</v>
      </c>
      <c r="E3">
        <f>'balance sheet'!G27</f>
        <v>312124.96437499998</v>
      </c>
      <c r="F3">
        <f>'balance sheet'!H27</f>
        <v>396646.65508210973</v>
      </c>
      <c r="G3">
        <f>'balance sheet'!I27</f>
        <v>468900.04542975558</v>
      </c>
      <c r="H3">
        <f>'balance sheet'!J27</f>
        <v>552311.97592041735</v>
      </c>
      <c r="I3">
        <f>'balance sheet'!K27</f>
        <v>978414.71634960524</v>
      </c>
    </row>
    <row r="4" spans="1:9" x14ac:dyDescent="0.35">
      <c r="A4" t="s">
        <v>602</v>
      </c>
      <c r="E4">
        <f>'balance sheet'!G47</f>
        <v>124451.90140629644</v>
      </c>
      <c r="F4">
        <f>'balance sheet'!H47</f>
        <v>98391.783652028564</v>
      </c>
      <c r="G4">
        <f>'balance sheet'!I47</f>
        <v>94421.935112398962</v>
      </c>
      <c r="H4">
        <f>'balance sheet'!J47</f>
        <v>89405.543200789514</v>
      </c>
      <c r="I4">
        <f>'balance sheet'!K47</f>
        <v>158779.30773246349</v>
      </c>
    </row>
    <row r="7" spans="1:9" x14ac:dyDescent="0.35">
      <c r="A7" t="s">
        <v>603</v>
      </c>
      <c r="E7" s="152">
        <f>-'profit and loss'!G19/E4</f>
        <v>7.9713326095458836E-3</v>
      </c>
      <c r="F7" s="152">
        <f>-'profit and loss'!H19/F4</f>
        <v>8.5603641761263539E-3</v>
      </c>
      <c r="G7" s="152">
        <f>-'profit and loss'!I19/G4</f>
        <v>7.3377473060178755E-3</v>
      </c>
      <c r="H7" s="152">
        <f>-'profit and loss'!J19/H4</f>
        <v>6.0816880087497579E-3</v>
      </c>
      <c r="I7" s="152">
        <f>-'profit and loss'!K19/I4</f>
        <v>2.487192529302463E-3</v>
      </c>
    </row>
    <row r="8" spans="1:9" x14ac:dyDescent="0.35">
      <c r="A8" t="s">
        <v>604</v>
      </c>
      <c r="E8" s="152">
        <v>0.25</v>
      </c>
      <c r="F8" s="152">
        <v>0.25</v>
      </c>
      <c r="G8" s="152">
        <v>0.25</v>
      </c>
      <c r="H8" s="152">
        <v>0.25</v>
      </c>
      <c r="I8" s="152">
        <v>0.25</v>
      </c>
    </row>
    <row r="9" spans="1:9" x14ac:dyDescent="0.35">
      <c r="A9" t="s">
        <v>605</v>
      </c>
      <c r="E9" s="155">
        <f>E4/SUM(E3:E4)</f>
        <v>0.28506297781852863</v>
      </c>
      <c r="F9" s="155">
        <f t="shared" ref="F9:I9" si="0">F4/SUM(F3:F4)</f>
        <v>0.19875584591698775</v>
      </c>
      <c r="G9" s="155">
        <f t="shared" si="0"/>
        <v>0.16761628051780447</v>
      </c>
      <c r="H9" s="155">
        <f t="shared" si="0"/>
        <v>0.13932227270844183</v>
      </c>
      <c r="I9" s="155">
        <f t="shared" si="0"/>
        <v>0.13962376197028339</v>
      </c>
    </row>
    <row r="10" spans="1:9" x14ac:dyDescent="0.35">
      <c r="A10" t="s">
        <v>606</v>
      </c>
      <c r="E10" s="153"/>
    </row>
    <row r="13" spans="1:9" x14ac:dyDescent="0.35">
      <c r="A13" t="s">
        <v>607</v>
      </c>
      <c r="E13" s="154">
        <v>4.1570000000000003E-2</v>
      </c>
    </row>
    <row r="14" spans="1:9" x14ac:dyDescent="0.35">
      <c r="A14" t="s">
        <v>608</v>
      </c>
    </row>
    <row r="15" spans="1:9" x14ac:dyDescent="0.35">
      <c r="A15" t="s">
        <v>609</v>
      </c>
    </row>
    <row r="16" spans="1:9" x14ac:dyDescent="0.35">
      <c r="A16" t="s">
        <v>610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1020C-B3BF-4E80-93E5-C611C0BEE837}">
  <dimension ref="A1:Q7"/>
  <sheetViews>
    <sheetView zoomScale="99" zoomScaleNormal="99" workbookViewId="0">
      <selection activeCell="C23" sqref="C23"/>
    </sheetView>
  </sheetViews>
  <sheetFormatPr defaultRowHeight="14.5" x14ac:dyDescent="0.35"/>
  <cols>
    <col min="1" max="1" width="23.26953125" customWidth="1"/>
    <col min="2" max="2" width="14.453125" customWidth="1"/>
    <col min="3" max="3" width="16.26953125" customWidth="1"/>
    <col min="4" max="4" width="20.08984375" customWidth="1"/>
    <col min="5" max="5" width="16.08984375" customWidth="1"/>
    <col min="6" max="6" width="14.90625" customWidth="1"/>
    <col min="7" max="7" width="15.81640625" customWidth="1"/>
    <col min="9" max="9" width="16.7265625" customWidth="1"/>
    <col min="10" max="10" width="19.7265625" customWidth="1"/>
    <col min="11" max="11" width="15.81640625" customWidth="1"/>
  </cols>
  <sheetData>
    <row r="1" spans="1:17" x14ac:dyDescent="0.35">
      <c r="B1" s="54"/>
      <c r="C1" s="54" t="s">
        <v>611</v>
      </c>
      <c r="D1" s="54"/>
      <c r="E1" s="54"/>
      <c r="I1" s="157"/>
      <c r="J1" s="54" t="s">
        <v>619</v>
      </c>
      <c r="K1" s="157"/>
      <c r="N1" s="54"/>
      <c r="O1" s="54" t="s">
        <v>620</v>
      </c>
      <c r="P1" s="54"/>
    </row>
    <row r="2" spans="1:17" x14ac:dyDescent="0.35">
      <c r="A2" s="156" t="s">
        <v>612</v>
      </c>
      <c r="B2" s="156" t="s">
        <v>613</v>
      </c>
      <c r="C2" s="156" t="s">
        <v>614</v>
      </c>
      <c r="D2" s="156" t="s">
        <v>615</v>
      </c>
      <c r="E2" s="156" t="s">
        <v>616</v>
      </c>
      <c r="F2" s="156" t="s">
        <v>617</v>
      </c>
      <c r="G2" s="156" t="s">
        <v>618</v>
      </c>
      <c r="I2" s="156" t="s">
        <v>248</v>
      </c>
      <c r="J2" s="156" t="s">
        <v>599</v>
      </c>
      <c r="K2" s="156" t="s">
        <v>621</v>
      </c>
      <c r="M2" s="156" t="s">
        <v>622</v>
      </c>
      <c r="N2" s="156"/>
      <c r="O2" s="156" t="s">
        <v>623</v>
      </c>
      <c r="P2" s="156"/>
      <c r="Q2" s="156" t="s">
        <v>624</v>
      </c>
    </row>
    <row r="3" spans="1:17" x14ac:dyDescent="0.35">
      <c r="A3" s="158" t="s">
        <v>628</v>
      </c>
      <c r="C3" s="159">
        <v>0.25</v>
      </c>
      <c r="D3" s="158">
        <v>542000000</v>
      </c>
      <c r="E3" s="158">
        <v>135000000</v>
      </c>
      <c r="F3" s="158" t="s">
        <v>634</v>
      </c>
      <c r="G3" s="158" t="s">
        <v>639</v>
      </c>
      <c r="I3" s="158" t="s">
        <v>644</v>
      </c>
      <c r="J3" s="158" t="s">
        <v>649</v>
      </c>
      <c r="K3" s="158" t="s">
        <v>654</v>
      </c>
      <c r="M3" s="158">
        <v>0.8</v>
      </c>
      <c r="O3" s="158">
        <v>2</v>
      </c>
      <c r="Q3" s="158">
        <v>2.4</v>
      </c>
    </row>
    <row r="4" spans="1:17" x14ac:dyDescent="0.35">
      <c r="A4" s="158" t="s">
        <v>627</v>
      </c>
      <c r="C4" s="159">
        <v>25</v>
      </c>
      <c r="D4" s="158">
        <v>19300000</v>
      </c>
      <c r="E4" s="158">
        <v>4830000000</v>
      </c>
      <c r="F4" s="158" t="s">
        <v>635</v>
      </c>
      <c r="G4" s="158" t="s">
        <v>640</v>
      </c>
      <c r="I4" s="158" t="s">
        <v>645</v>
      </c>
      <c r="J4" s="158" t="s">
        <v>650</v>
      </c>
      <c r="K4" s="158" t="s">
        <v>655</v>
      </c>
      <c r="M4" s="158">
        <v>1.9</v>
      </c>
      <c r="O4" s="158">
        <v>3.7</v>
      </c>
      <c r="Q4" s="158">
        <v>7.4</v>
      </c>
    </row>
    <row r="5" spans="1:17" x14ac:dyDescent="0.35">
      <c r="A5" s="158" t="s">
        <v>629</v>
      </c>
      <c r="C5" s="158" t="s">
        <v>630</v>
      </c>
      <c r="D5" s="158">
        <v>2030000000</v>
      </c>
      <c r="E5" s="158">
        <v>2050000000</v>
      </c>
      <c r="F5" s="158" t="s">
        <v>636</v>
      </c>
      <c r="G5" s="158" t="s">
        <v>641</v>
      </c>
      <c r="I5" s="158" t="s">
        <v>646</v>
      </c>
      <c r="J5" s="158" t="s">
        <v>651</v>
      </c>
      <c r="K5" s="158" t="s">
        <v>656</v>
      </c>
      <c r="M5" s="158">
        <v>4.0999999999999996</v>
      </c>
      <c r="O5" s="158">
        <v>9.6999999999999993</v>
      </c>
      <c r="Q5" s="158">
        <v>14.4</v>
      </c>
    </row>
    <row r="6" spans="1:17" x14ac:dyDescent="0.35">
      <c r="A6" s="158" t="s">
        <v>626</v>
      </c>
      <c r="C6" s="159">
        <v>27.38</v>
      </c>
      <c r="D6" s="158">
        <v>1210000000</v>
      </c>
      <c r="E6" s="158" t="s">
        <v>632</v>
      </c>
      <c r="F6" s="158" t="s">
        <v>637</v>
      </c>
      <c r="G6" s="158" t="s">
        <v>642</v>
      </c>
      <c r="I6" s="158" t="s">
        <v>647</v>
      </c>
      <c r="J6" s="158" t="s">
        <v>652</v>
      </c>
      <c r="K6" s="158" t="s">
        <v>657</v>
      </c>
      <c r="M6" s="158">
        <v>7.2</v>
      </c>
      <c r="O6" s="158">
        <v>12.1</v>
      </c>
      <c r="Q6" s="158">
        <v>33.1</v>
      </c>
    </row>
    <row r="7" spans="1:17" x14ac:dyDescent="0.35">
      <c r="A7" s="158" t="s">
        <v>625</v>
      </c>
      <c r="C7" s="158" t="s">
        <v>631</v>
      </c>
      <c r="D7" s="158">
        <v>895000000</v>
      </c>
      <c r="E7" s="158" t="s">
        <v>633</v>
      </c>
      <c r="F7" s="158" t="s">
        <v>638</v>
      </c>
      <c r="G7" s="158" t="s">
        <v>643</v>
      </c>
      <c r="I7" s="158" t="s">
        <v>648</v>
      </c>
      <c r="J7" s="158" t="s">
        <v>653</v>
      </c>
      <c r="K7" s="158" t="s">
        <v>658</v>
      </c>
      <c r="M7" s="158">
        <v>7.6</v>
      </c>
      <c r="O7" s="158">
        <v>14.6</v>
      </c>
      <c r="Q7" s="158">
        <v>29.3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5D880A-4E6B-4144-9B22-4F22C9B29460}">
  <dimension ref="A1:B26"/>
  <sheetViews>
    <sheetView topLeftCell="A23" workbookViewId="0">
      <selection activeCell="A30" sqref="A30"/>
    </sheetView>
  </sheetViews>
  <sheetFormatPr defaultRowHeight="14.5" x14ac:dyDescent="0.35"/>
  <cols>
    <col min="1" max="1" width="62.81640625" bestFit="1" customWidth="1"/>
    <col min="2" max="5" width="10.54296875" bestFit="1" customWidth="1"/>
  </cols>
  <sheetData>
    <row r="1" spans="1:2" x14ac:dyDescent="0.35">
      <c r="A1" t="s">
        <v>88</v>
      </c>
      <c r="B1" t="s">
        <v>113</v>
      </c>
    </row>
    <row r="2" spans="1:2" x14ac:dyDescent="0.35">
      <c r="B2">
        <v>2025</v>
      </c>
    </row>
    <row r="3" spans="1:2" x14ac:dyDescent="0.35">
      <c r="A3" t="s">
        <v>89</v>
      </c>
      <c r="B3">
        <v>78659</v>
      </c>
    </row>
    <row r="4" spans="1:2" x14ac:dyDescent="0.35">
      <c r="A4" t="s">
        <v>73</v>
      </c>
      <c r="B4">
        <v>218</v>
      </c>
    </row>
    <row r="5" spans="1:2" x14ac:dyDescent="0.35">
      <c r="A5" t="s">
        <v>90</v>
      </c>
      <c r="B5">
        <v>-1976</v>
      </c>
    </row>
    <row r="6" spans="1:2" x14ac:dyDescent="0.35">
      <c r="A6" t="s">
        <v>74</v>
      </c>
      <c r="B6">
        <v>-21939</v>
      </c>
    </row>
    <row r="7" spans="1:2" x14ac:dyDescent="0.35">
      <c r="A7" t="s">
        <v>91</v>
      </c>
      <c r="B7">
        <v>54962</v>
      </c>
    </row>
    <row r="8" spans="1:2" x14ac:dyDescent="0.35">
      <c r="A8" t="s">
        <v>114</v>
      </c>
    </row>
    <row r="9" spans="1:2" x14ac:dyDescent="0.35">
      <c r="A9" t="s">
        <v>112</v>
      </c>
      <c r="B9">
        <v>-24058</v>
      </c>
    </row>
    <row r="10" spans="1:2" x14ac:dyDescent="0.35">
      <c r="A10" t="s">
        <v>115</v>
      </c>
      <c r="B10">
        <v>-4542</v>
      </c>
    </row>
    <row r="11" spans="1:2" x14ac:dyDescent="0.35">
      <c r="A11" t="s">
        <v>116</v>
      </c>
      <c r="B11">
        <v>21966</v>
      </c>
    </row>
    <row r="12" spans="1:2" x14ac:dyDescent="0.35">
      <c r="A12" t="s">
        <v>117</v>
      </c>
      <c r="B12">
        <v>17</v>
      </c>
    </row>
    <row r="13" spans="1:2" x14ac:dyDescent="0.35">
      <c r="A13" t="s">
        <v>118</v>
      </c>
      <c r="B13">
        <v>-1592</v>
      </c>
    </row>
    <row r="14" spans="1:2" x14ac:dyDescent="0.35">
      <c r="A14" t="s">
        <v>119</v>
      </c>
      <c r="B14">
        <v>-18500</v>
      </c>
    </row>
    <row r="15" spans="1:2" x14ac:dyDescent="0.35">
      <c r="A15" t="s">
        <v>97</v>
      </c>
      <c r="B15">
        <v>-26709</v>
      </c>
    </row>
    <row r="16" spans="1:2" x14ac:dyDescent="0.35">
      <c r="A16" t="s">
        <v>120</v>
      </c>
    </row>
    <row r="17" spans="1:2" x14ac:dyDescent="0.35">
      <c r="A17" t="s">
        <v>121</v>
      </c>
      <c r="B17">
        <v>-14707</v>
      </c>
    </row>
    <row r="18" spans="1:2" x14ac:dyDescent="0.35">
      <c r="A18" t="s">
        <v>76</v>
      </c>
      <c r="B18">
        <v>-218</v>
      </c>
    </row>
    <row r="19" spans="1:2" x14ac:dyDescent="0.35">
      <c r="A19" t="s">
        <v>100</v>
      </c>
      <c r="B19">
        <v>1259</v>
      </c>
    </row>
    <row r="20" spans="1:2" x14ac:dyDescent="0.35">
      <c r="A20" t="s">
        <v>101</v>
      </c>
      <c r="B20">
        <v>-1004</v>
      </c>
    </row>
    <row r="21" spans="1:2" x14ac:dyDescent="0.35">
      <c r="A21" t="s">
        <v>122</v>
      </c>
      <c r="B21">
        <v>2387</v>
      </c>
    </row>
    <row r="22" spans="1:2" x14ac:dyDescent="0.35">
      <c r="A22" t="s">
        <v>123</v>
      </c>
      <c r="B22">
        <v>-12283</v>
      </c>
    </row>
    <row r="23" spans="1:2" x14ac:dyDescent="0.35">
      <c r="A23" t="s">
        <v>124</v>
      </c>
      <c r="B23">
        <v>15970</v>
      </c>
    </row>
    <row r="24" spans="1:2" x14ac:dyDescent="0.35">
      <c r="A24" t="s">
        <v>125</v>
      </c>
      <c r="B24">
        <v>-24</v>
      </c>
    </row>
    <row r="25" spans="1:2" x14ac:dyDescent="0.35">
      <c r="A25" t="s">
        <v>126</v>
      </c>
      <c r="B25">
        <v>-8668</v>
      </c>
    </row>
    <row r="26" spans="1:2" x14ac:dyDescent="0.35">
      <c r="A26" t="s">
        <v>127</v>
      </c>
      <c r="B26">
        <v>7278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8C5B4-38AD-47DE-A0C9-F578D8A417CA}">
  <dimension ref="A2:R7"/>
  <sheetViews>
    <sheetView topLeftCell="N2" zoomScale="62" workbookViewId="0">
      <selection activeCell="W26" sqref="V25:W26"/>
    </sheetView>
  </sheetViews>
  <sheetFormatPr defaultRowHeight="14.5" x14ac:dyDescent="0.35"/>
  <sheetData>
    <row r="2" spans="1:18" ht="23.5" x14ac:dyDescent="0.55000000000000004">
      <c r="A2" s="98" t="s">
        <v>453</v>
      </c>
      <c r="B2" s="46"/>
      <c r="C2" s="46"/>
      <c r="D2" s="46"/>
      <c r="E2" s="46"/>
      <c r="F2" s="46"/>
      <c r="G2" s="98" t="s">
        <v>453</v>
      </c>
      <c r="H2" s="46"/>
    </row>
    <row r="3" spans="1:18" x14ac:dyDescent="0.35">
      <c r="A3" t="s">
        <v>454</v>
      </c>
      <c r="B3" s="46"/>
      <c r="C3" s="46"/>
      <c r="D3" s="46"/>
      <c r="E3" s="46"/>
      <c r="F3" s="46"/>
      <c r="G3" t="s">
        <v>454</v>
      </c>
      <c r="H3" s="46"/>
    </row>
    <row r="4" spans="1:18" x14ac:dyDescent="0.35">
      <c r="A4" s="16" t="s">
        <v>459</v>
      </c>
      <c r="B4" s="46"/>
      <c r="C4" s="46"/>
      <c r="D4" s="46"/>
      <c r="E4" s="46"/>
      <c r="F4" s="46"/>
      <c r="G4" s="16" t="s">
        <v>459</v>
      </c>
      <c r="H4" s="46"/>
    </row>
    <row r="6" spans="1:18" x14ac:dyDescent="0.35">
      <c r="A6" t="s">
        <v>455</v>
      </c>
      <c r="B6" s="46"/>
      <c r="C6" s="46"/>
      <c r="D6" s="46"/>
      <c r="E6" s="46"/>
      <c r="F6" s="46"/>
      <c r="G6" t="s">
        <v>455</v>
      </c>
      <c r="H6" s="46"/>
      <c r="R6" s="131" t="s">
        <v>88</v>
      </c>
    </row>
    <row r="7" spans="1:18" x14ac:dyDescent="0.35">
      <c r="A7" t="s">
        <v>456</v>
      </c>
      <c r="B7" s="46"/>
      <c r="C7" s="46"/>
      <c r="D7" s="46"/>
      <c r="E7" s="46"/>
      <c r="F7" s="46">
        <f>'balance sheet'!F9</f>
        <v>6748</v>
      </c>
      <c r="G7" s="46"/>
      <c r="H7" s="4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31B3D-9F31-4DC0-87F1-2260547376EB}">
  <dimension ref="A1:E10"/>
  <sheetViews>
    <sheetView workbookViewId="0">
      <selection activeCell="A13" sqref="A13"/>
    </sheetView>
  </sheetViews>
  <sheetFormatPr defaultRowHeight="14.5" x14ac:dyDescent="0.35"/>
  <cols>
    <col min="1" max="1" width="26.26953125" customWidth="1"/>
    <col min="2" max="2" width="19" customWidth="1"/>
    <col min="3" max="3" width="20.90625" customWidth="1"/>
  </cols>
  <sheetData>
    <row r="1" spans="1:5" x14ac:dyDescent="0.35">
      <c r="A1" t="s">
        <v>88</v>
      </c>
      <c r="B1" t="s">
        <v>461</v>
      </c>
      <c r="C1" t="s">
        <v>462</v>
      </c>
    </row>
    <row r="2" spans="1:5" x14ac:dyDescent="0.35">
      <c r="A2" t="s">
        <v>463</v>
      </c>
      <c r="B2">
        <v>4.5499999999999999E-2</v>
      </c>
      <c r="C2">
        <v>3.8800000000000001E-2</v>
      </c>
    </row>
    <row r="3" spans="1:5" x14ac:dyDescent="0.35">
      <c r="A3" t="s">
        <v>464</v>
      </c>
      <c r="B3">
        <v>9.41</v>
      </c>
      <c r="C3">
        <v>12.2</v>
      </c>
    </row>
    <row r="4" spans="1:5" x14ac:dyDescent="0.35">
      <c r="A4" t="s">
        <v>465</v>
      </c>
      <c r="B4">
        <v>9.41</v>
      </c>
      <c r="C4">
        <v>12.2</v>
      </c>
    </row>
    <row r="5" spans="1:5" x14ac:dyDescent="0.35">
      <c r="A5" t="s">
        <v>88</v>
      </c>
      <c r="B5" t="s">
        <v>128</v>
      </c>
      <c r="C5" t="s">
        <v>129</v>
      </c>
      <c r="D5" t="s">
        <v>113</v>
      </c>
      <c r="E5" t="s">
        <v>277</v>
      </c>
    </row>
    <row r="6" spans="1:5" x14ac:dyDescent="0.35">
      <c r="A6" t="s">
        <v>449</v>
      </c>
      <c r="D6" t="s">
        <v>466</v>
      </c>
      <c r="E6" t="s">
        <v>467</v>
      </c>
    </row>
    <row r="7" spans="1:5" x14ac:dyDescent="0.35">
      <c r="A7" t="s">
        <v>468</v>
      </c>
      <c r="D7" t="s">
        <v>94</v>
      </c>
      <c r="E7" t="s">
        <v>469</v>
      </c>
    </row>
    <row r="8" spans="1:5" x14ac:dyDescent="0.35">
      <c r="A8" t="s">
        <v>477</v>
      </c>
      <c r="B8" t="s">
        <v>94</v>
      </c>
      <c r="D8" t="s">
        <v>472</v>
      </c>
      <c r="E8" t="s">
        <v>469</v>
      </c>
    </row>
    <row r="9" spans="1:5" x14ac:dyDescent="0.35">
      <c r="A9" t="s">
        <v>478</v>
      </c>
      <c r="B9" t="s">
        <v>94</v>
      </c>
      <c r="D9" t="s">
        <v>472</v>
      </c>
      <c r="E9" t="s">
        <v>469</v>
      </c>
    </row>
    <row r="10" spans="1:5" x14ac:dyDescent="0.35">
      <c r="A10" t="s">
        <v>479</v>
      </c>
      <c r="D10" t="s">
        <v>476</v>
      </c>
      <c r="E10" t="s">
        <v>94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63533-A57E-4A5D-BB62-FE2EBA9439D9}">
  <dimension ref="A1:E6"/>
  <sheetViews>
    <sheetView workbookViewId="0">
      <selection sqref="A1:E6"/>
    </sheetView>
  </sheetViews>
  <sheetFormatPr defaultRowHeight="14.5" x14ac:dyDescent="0.35"/>
  <cols>
    <col min="1" max="1" width="37.1796875" bestFit="1" customWidth="1"/>
    <col min="2" max="3" width="16.6328125" bestFit="1" customWidth="1"/>
    <col min="4" max="5" width="10.54296875" bestFit="1" customWidth="1"/>
  </cols>
  <sheetData>
    <row r="1" spans="1:5" x14ac:dyDescent="0.35">
      <c r="A1" t="s">
        <v>88</v>
      </c>
      <c r="B1" t="s">
        <v>128</v>
      </c>
      <c r="C1" t="s">
        <v>129</v>
      </c>
      <c r="D1" t="s">
        <v>113</v>
      </c>
      <c r="E1" t="s">
        <v>277</v>
      </c>
    </row>
    <row r="2" spans="1:5" x14ac:dyDescent="0.35">
      <c r="A2" t="s">
        <v>449</v>
      </c>
      <c r="D2" t="s">
        <v>466</v>
      </c>
      <c r="E2" t="s">
        <v>467</v>
      </c>
    </row>
    <row r="3" spans="1:5" x14ac:dyDescent="0.35">
      <c r="A3" t="s">
        <v>468</v>
      </c>
      <c r="D3" t="s">
        <v>94</v>
      </c>
      <c r="E3" t="s">
        <v>469</v>
      </c>
    </row>
    <row r="4" spans="1:5" x14ac:dyDescent="0.35">
      <c r="A4" t="s">
        <v>470</v>
      </c>
      <c r="B4" t="s">
        <v>94</v>
      </c>
      <c r="C4" t="s">
        <v>471</v>
      </c>
      <c r="D4" t="s">
        <v>472</v>
      </c>
      <c r="E4" t="s">
        <v>469</v>
      </c>
    </row>
    <row r="5" spans="1:5" x14ac:dyDescent="0.35">
      <c r="A5" t="s">
        <v>470</v>
      </c>
      <c r="B5" t="s">
        <v>94</v>
      </c>
      <c r="C5" t="s">
        <v>473</v>
      </c>
      <c r="D5" t="s">
        <v>472</v>
      </c>
      <c r="E5" t="s">
        <v>469</v>
      </c>
    </row>
    <row r="6" spans="1:5" x14ac:dyDescent="0.35">
      <c r="A6" t="s">
        <v>474</v>
      </c>
      <c r="B6" t="s">
        <v>475</v>
      </c>
      <c r="D6" t="s">
        <v>476</v>
      </c>
      <c r="E6" t="s">
        <v>94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FD6E2-3670-4B0B-913E-A0D8817DD8AA}">
  <dimension ref="A1:C13"/>
  <sheetViews>
    <sheetView workbookViewId="0">
      <selection activeCell="A2" sqref="A2:B9"/>
    </sheetView>
  </sheetViews>
  <sheetFormatPr defaultRowHeight="14.5" x14ac:dyDescent="0.35"/>
  <cols>
    <col min="1" max="1" width="34" bestFit="1" customWidth="1"/>
    <col min="2" max="3" width="10.54296875" bestFit="1" customWidth="1"/>
  </cols>
  <sheetData>
    <row r="1" spans="1:3" x14ac:dyDescent="0.35">
      <c r="A1" t="s">
        <v>88</v>
      </c>
      <c r="B1" t="s">
        <v>128</v>
      </c>
      <c r="C1" t="s">
        <v>129</v>
      </c>
    </row>
    <row r="2" spans="1:3" x14ac:dyDescent="0.35">
      <c r="B2">
        <v>2024</v>
      </c>
      <c r="C2" t="s">
        <v>40</v>
      </c>
    </row>
    <row r="3" spans="1:3" x14ac:dyDescent="0.35">
      <c r="A3" t="s">
        <v>530</v>
      </c>
      <c r="B3">
        <v>121</v>
      </c>
      <c r="C3" t="s">
        <v>531</v>
      </c>
    </row>
    <row r="4" spans="1:3" x14ac:dyDescent="0.35">
      <c r="A4" t="s">
        <v>532</v>
      </c>
      <c r="B4">
        <v>82</v>
      </c>
      <c r="C4" t="s">
        <v>533</v>
      </c>
    </row>
    <row r="5" spans="1:3" x14ac:dyDescent="0.35">
      <c r="A5" t="s">
        <v>534</v>
      </c>
      <c r="B5">
        <v>73</v>
      </c>
      <c r="C5" t="s">
        <v>94</v>
      </c>
    </row>
    <row r="6" spans="1:3" x14ac:dyDescent="0.35">
      <c r="A6" t="s">
        <v>535</v>
      </c>
      <c r="B6">
        <v>79</v>
      </c>
      <c r="C6" t="s">
        <v>94</v>
      </c>
    </row>
    <row r="7" spans="1:3" x14ac:dyDescent="0.35">
      <c r="A7" t="s">
        <v>536</v>
      </c>
      <c r="B7">
        <v>355</v>
      </c>
      <c r="C7" t="s">
        <v>537</v>
      </c>
    </row>
    <row r="8" spans="1:3" x14ac:dyDescent="0.35">
      <c r="A8" t="s">
        <v>17</v>
      </c>
      <c r="B8">
        <v>-61</v>
      </c>
      <c r="C8" t="s">
        <v>538</v>
      </c>
    </row>
    <row r="9" spans="1:3" x14ac:dyDescent="0.35">
      <c r="A9" t="s">
        <v>539</v>
      </c>
      <c r="B9">
        <v>294</v>
      </c>
      <c r="C9" t="s">
        <v>540</v>
      </c>
    </row>
    <row r="10" spans="1:3" x14ac:dyDescent="0.35">
      <c r="A10" t="s">
        <v>38</v>
      </c>
      <c r="B10">
        <v>2024</v>
      </c>
      <c r="C10" t="s">
        <v>40</v>
      </c>
    </row>
    <row r="11" spans="1:3" x14ac:dyDescent="0.35">
      <c r="A11" t="s">
        <v>541</v>
      </c>
      <c r="B11">
        <v>20712</v>
      </c>
      <c r="C11" t="s">
        <v>542</v>
      </c>
    </row>
    <row r="12" spans="1:3" x14ac:dyDescent="0.35">
      <c r="A12" t="s">
        <v>543</v>
      </c>
      <c r="B12">
        <v>3056</v>
      </c>
      <c r="C12" t="s">
        <v>544</v>
      </c>
    </row>
    <row r="13" spans="1:3" x14ac:dyDescent="0.35">
      <c r="B13">
        <v>23768</v>
      </c>
      <c r="C13" t="s">
        <v>148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16C78-AA97-45A2-B313-7BFF1292ADEE}">
  <dimension ref="A1"/>
  <sheetViews>
    <sheetView workbookViewId="0">
      <selection activeCell="A2" sqref="A2"/>
    </sheetView>
  </sheetViews>
  <sheetFormatPr defaultRowHeight="14.5" x14ac:dyDescent="0.3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EF01A6-7295-4112-B7AE-EBB88F40C1AA}">
  <dimension ref="A1:H9"/>
  <sheetViews>
    <sheetView workbookViewId="0">
      <selection activeCell="A2" sqref="A2:H9"/>
    </sheetView>
  </sheetViews>
  <sheetFormatPr defaultRowHeight="14.5" x14ac:dyDescent="0.35"/>
  <cols>
    <col min="1" max="1" width="25.7265625" bestFit="1" customWidth="1"/>
    <col min="2" max="2" width="10.54296875" bestFit="1" customWidth="1"/>
    <col min="3" max="3" width="11.26953125" bestFit="1" customWidth="1"/>
    <col min="4" max="4" width="10.54296875" bestFit="1" customWidth="1"/>
    <col min="5" max="5" width="14.7265625" bestFit="1" customWidth="1"/>
    <col min="6" max="7" width="11.08984375" bestFit="1" customWidth="1"/>
    <col min="8" max="8" width="11.81640625" bestFit="1" customWidth="1"/>
  </cols>
  <sheetData>
    <row r="1" spans="1:8" x14ac:dyDescent="0.35">
      <c r="A1" t="s">
        <v>88</v>
      </c>
      <c r="B1" t="s">
        <v>128</v>
      </c>
      <c r="C1" t="s">
        <v>129</v>
      </c>
      <c r="D1" t="s">
        <v>113</v>
      </c>
      <c r="E1" t="s">
        <v>277</v>
      </c>
      <c r="F1" t="s">
        <v>369</v>
      </c>
      <c r="G1" t="s">
        <v>370</v>
      </c>
      <c r="H1" t="s">
        <v>371</v>
      </c>
    </row>
    <row r="2" spans="1:8" x14ac:dyDescent="0.35">
      <c r="A2" t="s">
        <v>483</v>
      </c>
      <c r="E2" t="s">
        <v>484</v>
      </c>
      <c r="F2" t="s">
        <v>485</v>
      </c>
      <c r="G2" t="s">
        <v>486</v>
      </c>
      <c r="H2" t="s">
        <v>487</v>
      </c>
    </row>
    <row r="3" spans="1:8" x14ac:dyDescent="0.35">
      <c r="A3" t="s">
        <v>488</v>
      </c>
      <c r="B3" t="s">
        <v>94</v>
      </c>
      <c r="C3" t="s">
        <v>489</v>
      </c>
      <c r="E3" t="s">
        <v>490</v>
      </c>
      <c r="F3" t="s">
        <v>491</v>
      </c>
      <c r="G3" t="s">
        <v>492</v>
      </c>
      <c r="H3" t="s">
        <v>493</v>
      </c>
    </row>
    <row r="4" spans="1:8" x14ac:dyDescent="0.35">
      <c r="A4" t="s">
        <v>494</v>
      </c>
    </row>
    <row r="5" spans="1:8" x14ac:dyDescent="0.35">
      <c r="A5" t="s">
        <v>495</v>
      </c>
      <c r="E5" t="s">
        <v>496</v>
      </c>
      <c r="F5" t="s">
        <v>497</v>
      </c>
      <c r="G5" t="s">
        <v>498</v>
      </c>
      <c r="H5" t="s">
        <v>499</v>
      </c>
    </row>
    <row r="6" spans="1:8" x14ac:dyDescent="0.35">
      <c r="A6" t="s">
        <v>500</v>
      </c>
      <c r="E6" t="s">
        <v>501</v>
      </c>
      <c r="F6" t="s">
        <v>502</v>
      </c>
      <c r="G6" t="s">
        <v>503</v>
      </c>
      <c r="H6" t="s">
        <v>504</v>
      </c>
    </row>
    <row r="7" spans="1:8" x14ac:dyDescent="0.35">
      <c r="A7" t="s">
        <v>505</v>
      </c>
      <c r="B7" t="s">
        <v>506</v>
      </c>
      <c r="C7" t="s">
        <v>507</v>
      </c>
      <c r="D7" t="s">
        <v>508</v>
      </c>
      <c r="E7" t="s">
        <v>509</v>
      </c>
      <c r="F7" t="s">
        <v>509</v>
      </c>
      <c r="G7" t="s">
        <v>509</v>
      </c>
      <c r="H7" t="s">
        <v>509</v>
      </c>
    </row>
    <row r="8" spans="1:8" x14ac:dyDescent="0.35">
      <c r="A8" t="s">
        <v>510</v>
      </c>
    </row>
    <row r="9" spans="1:8" x14ac:dyDescent="0.35">
      <c r="A9" t="s">
        <v>505</v>
      </c>
      <c r="B9" t="s">
        <v>506</v>
      </c>
      <c r="C9" t="s">
        <v>507</v>
      </c>
      <c r="D9" t="s">
        <v>508</v>
      </c>
      <c r="E9" t="s">
        <v>511</v>
      </c>
      <c r="F9" t="s">
        <v>512</v>
      </c>
      <c r="G9" t="s">
        <v>513</v>
      </c>
      <c r="H9" t="s">
        <v>513</v>
      </c>
    </row>
  </sheetData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AD837B-7026-478D-8781-8F1AAC36D5E8}">
  <dimension ref="A1"/>
  <sheetViews>
    <sheetView workbookViewId="0">
      <selection activeCell="A14" sqref="A14"/>
    </sheetView>
  </sheetViews>
  <sheetFormatPr defaultRowHeight="14.5" x14ac:dyDescent="0.3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79D8D-7BBB-4451-85B7-16D4C97594B4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FF5B6-25EB-4B6E-BEF7-58CA7D7C68E9}">
  <dimension ref="A1:E22"/>
  <sheetViews>
    <sheetView workbookViewId="0"/>
  </sheetViews>
  <sheetFormatPr defaultRowHeight="14.5" x14ac:dyDescent="0.35"/>
  <cols>
    <col min="1" max="1" width="44.54296875" bestFit="1" customWidth="1"/>
    <col min="2" max="2" width="10.54296875" bestFit="1" customWidth="1"/>
    <col min="3" max="3" width="11.36328125" bestFit="1" customWidth="1"/>
    <col min="4" max="4" width="10.54296875" bestFit="1" customWidth="1"/>
    <col min="5" max="5" width="11.36328125" bestFit="1" customWidth="1"/>
  </cols>
  <sheetData>
    <row r="1" spans="1:5" x14ac:dyDescent="0.35">
      <c r="A1" t="s">
        <v>88</v>
      </c>
      <c r="B1" t="s">
        <v>128</v>
      </c>
      <c r="C1" t="s">
        <v>129</v>
      </c>
      <c r="D1" t="s">
        <v>113</v>
      </c>
      <c r="E1" t="s">
        <v>277</v>
      </c>
    </row>
    <row r="2" spans="1:5" x14ac:dyDescent="0.35">
      <c r="A2" t="s">
        <v>278</v>
      </c>
      <c r="B2" t="s">
        <v>279</v>
      </c>
      <c r="C2" t="s">
        <v>41</v>
      </c>
      <c r="D2">
        <v>2025</v>
      </c>
      <c r="E2" t="s">
        <v>41</v>
      </c>
    </row>
    <row r="3" spans="1:5" x14ac:dyDescent="0.35">
      <c r="C3" t="s">
        <v>280</v>
      </c>
      <c r="E3" t="s">
        <v>280</v>
      </c>
    </row>
    <row r="4" spans="1:5" x14ac:dyDescent="0.35">
      <c r="A4" t="s">
        <v>4</v>
      </c>
      <c r="B4" t="s">
        <v>281</v>
      </c>
      <c r="C4" t="s">
        <v>282</v>
      </c>
      <c r="D4">
        <v>192927</v>
      </c>
      <c r="E4" t="s">
        <v>283</v>
      </c>
    </row>
    <row r="5" spans="1:5" x14ac:dyDescent="0.35">
      <c r="A5" t="s">
        <v>5</v>
      </c>
      <c r="B5" t="s">
        <v>284</v>
      </c>
      <c r="C5" t="s">
        <v>285</v>
      </c>
      <c r="D5">
        <v>-9765</v>
      </c>
      <c r="E5" t="s">
        <v>286</v>
      </c>
    </row>
    <row r="6" spans="1:5" x14ac:dyDescent="0.35">
      <c r="A6" t="s">
        <v>6</v>
      </c>
      <c r="B6" t="s">
        <v>287</v>
      </c>
      <c r="C6" t="s">
        <v>288</v>
      </c>
      <c r="D6">
        <v>-73713</v>
      </c>
      <c r="E6" t="s">
        <v>289</v>
      </c>
    </row>
    <row r="7" spans="1:5" x14ac:dyDescent="0.35">
      <c r="A7" t="s">
        <v>7</v>
      </c>
      <c r="B7" t="s">
        <v>290</v>
      </c>
      <c r="C7" t="s">
        <v>291</v>
      </c>
      <c r="D7">
        <v>-11870</v>
      </c>
      <c r="E7" t="s">
        <v>292</v>
      </c>
    </row>
    <row r="8" spans="1:5" x14ac:dyDescent="0.35">
      <c r="A8" t="s">
        <v>8</v>
      </c>
      <c r="B8" t="s">
        <v>293</v>
      </c>
      <c r="C8" t="s">
        <v>294</v>
      </c>
      <c r="D8">
        <v>97579</v>
      </c>
      <c r="E8" t="s">
        <v>295</v>
      </c>
    </row>
    <row r="9" spans="1:5" x14ac:dyDescent="0.35">
      <c r="A9" t="s">
        <v>296</v>
      </c>
      <c r="B9" t="s">
        <v>297</v>
      </c>
      <c r="C9" t="s">
        <v>298</v>
      </c>
      <c r="D9">
        <v>-2949</v>
      </c>
      <c r="E9" t="s">
        <v>299</v>
      </c>
    </row>
    <row r="10" spans="1:5" x14ac:dyDescent="0.35">
      <c r="A10" t="s">
        <v>11</v>
      </c>
      <c r="B10" t="s">
        <v>300</v>
      </c>
      <c r="C10" t="s">
        <v>301</v>
      </c>
      <c r="D10">
        <v>-13254</v>
      </c>
      <c r="E10" t="s">
        <v>302</v>
      </c>
    </row>
    <row r="11" spans="1:5" x14ac:dyDescent="0.35">
      <c r="A11" t="s">
        <v>303</v>
      </c>
      <c r="B11" t="s">
        <v>143</v>
      </c>
      <c r="C11" t="s">
        <v>304</v>
      </c>
      <c r="D11">
        <v>-1592</v>
      </c>
      <c r="E11" t="s">
        <v>305</v>
      </c>
    </row>
    <row r="12" spans="1:5" x14ac:dyDescent="0.35">
      <c r="A12" t="s">
        <v>13</v>
      </c>
      <c r="B12" t="s">
        <v>306</v>
      </c>
      <c r="C12" t="s">
        <v>307</v>
      </c>
      <c r="D12">
        <v>-447</v>
      </c>
      <c r="E12" t="s">
        <v>308</v>
      </c>
    </row>
    <row r="13" spans="1:5" x14ac:dyDescent="0.35">
      <c r="A13" t="s">
        <v>12</v>
      </c>
      <c r="B13" t="s">
        <v>309</v>
      </c>
      <c r="C13" t="s">
        <v>310</v>
      </c>
      <c r="D13">
        <v>-1438</v>
      </c>
      <c r="E13" t="s">
        <v>311</v>
      </c>
    </row>
    <row r="14" spans="1:5" x14ac:dyDescent="0.35">
      <c r="A14" t="s">
        <v>10</v>
      </c>
      <c r="B14" t="s">
        <v>312</v>
      </c>
      <c r="C14" t="s">
        <v>313</v>
      </c>
      <c r="D14">
        <v>-3029</v>
      </c>
      <c r="E14" t="s">
        <v>314</v>
      </c>
    </row>
    <row r="15" spans="1:5" x14ac:dyDescent="0.35">
      <c r="A15" t="s">
        <v>9</v>
      </c>
      <c r="B15" t="s">
        <v>315</v>
      </c>
      <c r="C15" t="s">
        <v>316</v>
      </c>
      <c r="D15">
        <v>222</v>
      </c>
      <c r="E15" t="s">
        <v>317</v>
      </c>
    </row>
    <row r="16" spans="1:5" x14ac:dyDescent="0.35">
      <c r="A16" t="s">
        <v>318</v>
      </c>
      <c r="B16" t="s">
        <v>143</v>
      </c>
      <c r="C16" t="s">
        <v>143</v>
      </c>
      <c r="D16">
        <v>8540</v>
      </c>
      <c r="E16" t="s">
        <v>143</v>
      </c>
    </row>
    <row r="17" spans="1:5" x14ac:dyDescent="0.35">
      <c r="A17" t="s">
        <v>15</v>
      </c>
      <c r="B17" t="s">
        <v>319</v>
      </c>
      <c r="C17" t="s">
        <v>320</v>
      </c>
      <c r="D17">
        <v>83632</v>
      </c>
      <c r="E17" t="s">
        <v>321</v>
      </c>
    </row>
    <row r="18" spans="1:5" x14ac:dyDescent="0.35">
      <c r="A18" t="s">
        <v>16</v>
      </c>
      <c r="B18" t="s">
        <v>322</v>
      </c>
      <c r="C18" t="s">
        <v>323</v>
      </c>
      <c r="D18">
        <v>328</v>
      </c>
      <c r="E18" t="s">
        <v>316</v>
      </c>
    </row>
    <row r="19" spans="1:5" x14ac:dyDescent="0.35">
      <c r="A19" t="s">
        <v>17</v>
      </c>
      <c r="B19" t="s">
        <v>324</v>
      </c>
      <c r="C19" t="s">
        <v>325</v>
      </c>
      <c r="D19">
        <v>-2372</v>
      </c>
      <c r="E19" t="s">
        <v>326</v>
      </c>
    </row>
    <row r="20" spans="1:5" x14ac:dyDescent="0.35">
      <c r="A20" t="s">
        <v>18</v>
      </c>
      <c r="B20" t="s">
        <v>327</v>
      </c>
      <c r="C20" t="s">
        <v>328</v>
      </c>
      <c r="D20">
        <v>81588</v>
      </c>
      <c r="E20" t="s">
        <v>329</v>
      </c>
    </row>
    <row r="21" spans="1:5" x14ac:dyDescent="0.35">
      <c r="A21" t="s">
        <v>19</v>
      </c>
      <c r="B21" t="s">
        <v>330</v>
      </c>
      <c r="C21" t="s">
        <v>331</v>
      </c>
      <c r="D21">
        <v>-28176</v>
      </c>
      <c r="E21" t="s">
        <v>332</v>
      </c>
    </row>
    <row r="22" spans="1:5" x14ac:dyDescent="0.35">
      <c r="A22" t="s">
        <v>333</v>
      </c>
      <c r="B22" t="s">
        <v>334</v>
      </c>
      <c r="C22" t="s">
        <v>335</v>
      </c>
      <c r="D22">
        <v>53412</v>
      </c>
      <c r="E22" t="s">
        <v>336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C804C-D7C5-4F34-9FC3-42DA006862C2}">
  <dimension ref="A1:H29"/>
  <sheetViews>
    <sheetView topLeftCell="A6" zoomScale="63" workbookViewId="0">
      <selection activeCell="A18" sqref="A17:B18"/>
    </sheetView>
  </sheetViews>
  <sheetFormatPr defaultRowHeight="14.5" x14ac:dyDescent="0.35"/>
  <cols>
    <col min="1" max="1" width="63" bestFit="1" customWidth="1"/>
    <col min="2" max="2" width="11.08984375" bestFit="1" customWidth="1"/>
    <col min="3" max="3" width="23.08984375" bestFit="1" customWidth="1"/>
    <col min="4" max="8" width="10.54296875" bestFit="1" customWidth="1"/>
  </cols>
  <sheetData>
    <row r="1" spans="1:8" x14ac:dyDescent="0.35">
      <c r="A1" t="s">
        <v>88</v>
      </c>
      <c r="B1" t="s">
        <v>128</v>
      </c>
      <c r="C1" t="s">
        <v>129</v>
      </c>
      <c r="D1" t="s">
        <v>113</v>
      </c>
      <c r="E1" t="s">
        <v>277</v>
      </c>
      <c r="F1" t="s">
        <v>369</v>
      </c>
      <c r="G1" t="s">
        <v>370</v>
      </c>
      <c r="H1" t="s">
        <v>371</v>
      </c>
    </row>
    <row r="2" spans="1:8" x14ac:dyDescent="0.35">
      <c r="A2" t="s">
        <v>372</v>
      </c>
      <c r="F2" t="s">
        <v>41</v>
      </c>
      <c r="G2" t="s">
        <v>40</v>
      </c>
      <c r="H2" t="s">
        <v>1</v>
      </c>
    </row>
    <row r="3" spans="1:8" x14ac:dyDescent="0.35">
      <c r="A3" t="s">
        <v>17</v>
      </c>
      <c r="F3" t="s">
        <v>373</v>
      </c>
      <c r="G3" t="s">
        <v>374</v>
      </c>
      <c r="H3" t="s">
        <v>375</v>
      </c>
    </row>
    <row r="4" spans="1:8" x14ac:dyDescent="0.35">
      <c r="A4" t="s">
        <v>376</v>
      </c>
      <c r="F4" t="s">
        <v>377</v>
      </c>
      <c r="G4" t="s">
        <v>378</v>
      </c>
      <c r="H4" t="s">
        <v>379</v>
      </c>
    </row>
    <row r="5" spans="1:8" x14ac:dyDescent="0.35">
      <c r="A5" t="s">
        <v>380</v>
      </c>
      <c r="F5" t="s">
        <v>381</v>
      </c>
      <c r="G5" t="s">
        <v>382</v>
      </c>
      <c r="H5" t="s">
        <v>383</v>
      </c>
    </row>
    <row r="6" spans="1:8" x14ac:dyDescent="0.35">
      <c r="A6" t="s">
        <v>384</v>
      </c>
      <c r="F6" t="s">
        <v>94</v>
      </c>
      <c r="G6" t="s">
        <v>385</v>
      </c>
      <c r="H6" t="s">
        <v>94</v>
      </c>
    </row>
    <row r="7" spans="1:8" x14ac:dyDescent="0.35">
      <c r="A7" t="s">
        <v>386</v>
      </c>
      <c r="F7" t="s">
        <v>387</v>
      </c>
      <c r="G7" t="s">
        <v>388</v>
      </c>
      <c r="H7" t="s">
        <v>389</v>
      </c>
    </row>
    <row r="8" spans="1:8" x14ac:dyDescent="0.35">
      <c r="F8" t="s">
        <v>390</v>
      </c>
      <c r="G8" t="s">
        <v>391</v>
      </c>
      <c r="H8" t="s">
        <v>392</v>
      </c>
    </row>
    <row r="9" spans="1:8" x14ac:dyDescent="0.35">
      <c r="A9" t="s">
        <v>316</v>
      </c>
      <c r="B9" t="s">
        <v>19</v>
      </c>
    </row>
    <row r="10" spans="1:8" x14ac:dyDescent="0.35">
      <c r="A10" t="s">
        <v>393</v>
      </c>
      <c r="F10" t="s">
        <v>41</v>
      </c>
      <c r="G10" t="s">
        <v>40</v>
      </c>
      <c r="H10" t="s">
        <v>1</v>
      </c>
    </row>
    <row r="11" spans="1:8" x14ac:dyDescent="0.35">
      <c r="A11" t="s">
        <v>394</v>
      </c>
      <c r="F11" t="s">
        <v>395</v>
      </c>
      <c r="G11" t="s">
        <v>396</v>
      </c>
      <c r="H11" t="s">
        <v>397</v>
      </c>
    </row>
    <row r="12" spans="1:8" x14ac:dyDescent="0.35">
      <c r="A12" t="s">
        <v>398</v>
      </c>
      <c r="F12" t="s">
        <v>399</v>
      </c>
      <c r="G12" t="s">
        <v>400</v>
      </c>
      <c r="H12" t="s">
        <v>401</v>
      </c>
    </row>
    <row r="13" spans="1:8" x14ac:dyDescent="0.35">
      <c r="A13" t="s">
        <v>402</v>
      </c>
      <c r="F13" t="s">
        <v>94</v>
      </c>
      <c r="G13" t="s">
        <v>403</v>
      </c>
      <c r="H13" t="s">
        <v>404</v>
      </c>
    </row>
    <row r="14" spans="1:8" x14ac:dyDescent="0.35">
      <c r="A14" t="s">
        <v>405</v>
      </c>
      <c r="F14" t="s">
        <v>406</v>
      </c>
      <c r="G14" t="s">
        <v>407</v>
      </c>
      <c r="H14" t="s">
        <v>408</v>
      </c>
    </row>
    <row r="15" spans="1:8" x14ac:dyDescent="0.35">
      <c r="A15" t="s">
        <v>409</v>
      </c>
      <c r="F15" t="s">
        <v>94</v>
      </c>
      <c r="G15" t="s">
        <v>221</v>
      </c>
      <c r="H15" t="s">
        <v>94</v>
      </c>
    </row>
    <row r="16" spans="1:8" x14ac:dyDescent="0.35">
      <c r="A16" t="s">
        <v>410</v>
      </c>
      <c r="F16" t="s">
        <v>411</v>
      </c>
      <c r="G16" t="s">
        <v>412</v>
      </c>
      <c r="H16" t="s">
        <v>413</v>
      </c>
    </row>
    <row r="17" spans="1:8" x14ac:dyDescent="0.35">
      <c r="A17" t="s">
        <v>414</v>
      </c>
      <c r="F17" t="s">
        <v>411</v>
      </c>
      <c r="G17" t="s">
        <v>412</v>
      </c>
      <c r="H17" t="s">
        <v>413</v>
      </c>
    </row>
    <row r="18" spans="1:8" x14ac:dyDescent="0.35">
      <c r="A18" t="s">
        <v>415</v>
      </c>
      <c r="C18" t="s">
        <v>416</v>
      </c>
      <c r="F18" t="s">
        <v>417</v>
      </c>
      <c r="G18" t="s">
        <v>418</v>
      </c>
      <c r="H18" t="s">
        <v>419</v>
      </c>
    </row>
    <row r="19" spans="1:8" x14ac:dyDescent="0.35">
      <c r="A19" t="s">
        <v>420</v>
      </c>
      <c r="F19" t="s">
        <v>94</v>
      </c>
      <c r="G19" t="s">
        <v>94</v>
      </c>
      <c r="H19" t="s">
        <v>94</v>
      </c>
    </row>
    <row r="20" spans="1:8" x14ac:dyDescent="0.35">
      <c r="A20" t="s">
        <v>19</v>
      </c>
      <c r="F20" t="s">
        <v>417</v>
      </c>
      <c r="G20" t="s">
        <v>418</v>
      </c>
      <c r="H20" t="s">
        <v>419</v>
      </c>
    </row>
    <row r="21" spans="1:8" x14ac:dyDescent="0.35">
      <c r="A21" t="s">
        <v>421</v>
      </c>
    </row>
    <row r="22" spans="1:8" x14ac:dyDescent="0.35">
      <c r="A22" t="s">
        <v>422</v>
      </c>
      <c r="F22" t="s">
        <v>41</v>
      </c>
      <c r="G22" t="s">
        <v>40</v>
      </c>
      <c r="H22" t="s">
        <v>1</v>
      </c>
    </row>
    <row r="23" spans="1:8" x14ac:dyDescent="0.35">
      <c r="A23" t="s">
        <v>423</v>
      </c>
      <c r="F23" t="s">
        <v>424</v>
      </c>
      <c r="G23" t="s">
        <v>425</v>
      </c>
      <c r="H23" t="s">
        <v>426</v>
      </c>
    </row>
    <row r="24" spans="1:8" x14ac:dyDescent="0.35">
      <c r="A24" t="s">
        <v>427</v>
      </c>
      <c r="D24" t="s">
        <v>94</v>
      </c>
      <c r="E24" t="s">
        <v>428</v>
      </c>
      <c r="F24" t="s">
        <v>429</v>
      </c>
      <c r="G24" t="s">
        <v>429</v>
      </c>
      <c r="H24" t="s">
        <v>426</v>
      </c>
    </row>
    <row r="25" spans="1:8" x14ac:dyDescent="0.35">
      <c r="A25" t="s">
        <v>430</v>
      </c>
      <c r="F25" t="s">
        <v>431</v>
      </c>
      <c r="G25" t="s">
        <v>432</v>
      </c>
      <c r="H25" t="s">
        <v>432</v>
      </c>
    </row>
    <row r="26" spans="1:8" x14ac:dyDescent="0.35">
      <c r="A26" t="s">
        <v>433</v>
      </c>
      <c r="F26" t="s">
        <v>434</v>
      </c>
      <c r="G26" t="s">
        <v>435</v>
      </c>
      <c r="H26" t="s">
        <v>436</v>
      </c>
    </row>
    <row r="27" spans="1:8" x14ac:dyDescent="0.35">
      <c r="A27" t="s">
        <v>437</v>
      </c>
      <c r="F27" t="s">
        <v>426</v>
      </c>
      <c r="G27" t="s">
        <v>426</v>
      </c>
      <c r="H27" t="s">
        <v>438</v>
      </c>
    </row>
    <row r="28" spans="1:8" x14ac:dyDescent="0.35">
      <c r="A28" t="s">
        <v>439</v>
      </c>
      <c r="F28" t="s">
        <v>440</v>
      </c>
      <c r="G28" t="s">
        <v>441</v>
      </c>
      <c r="H28" t="s">
        <v>442</v>
      </c>
    </row>
    <row r="29" spans="1:8" x14ac:dyDescent="0.35">
      <c r="A29" t="s">
        <v>443</v>
      </c>
      <c r="F29" t="s">
        <v>444</v>
      </c>
      <c r="G29" t="s">
        <v>445</v>
      </c>
      <c r="H29" t="s">
        <v>446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BABA5-9E7A-4C9C-8364-E95099DDADFF}">
  <dimension ref="A1:C6"/>
  <sheetViews>
    <sheetView topLeftCell="A2" workbookViewId="0">
      <selection activeCell="A7" sqref="A7:C20"/>
    </sheetView>
  </sheetViews>
  <sheetFormatPr defaultRowHeight="14.5" x14ac:dyDescent="0.35"/>
  <cols>
    <col min="1" max="1" width="54.90625" bestFit="1" customWidth="1"/>
    <col min="2" max="3" width="10.54296875" bestFit="1" customWidth="1"/>
  </cols>
  <sheetData>
    <row r="1" spans="1:3" x14ac:dyDescent="0.35">
      <c r="A1" t="s">
        <v>88</v>
      </c>
      <c r="B1" t="s">
        <v>128</v>
      </c>
      <c r="C1" t="s">
        <v>129</v>
      </c>
    </row>
    <row r="2" spans="1:3" x14ac:dyDescent="0.35">
      <c r="B2" t="s">
        <v>570</v>
      </c>
      <c r="C2" t="s">
        <v>570</v>
      </c>
    </row>
    <row r="3" spans="1:3" x14ac:dyDescent="0.35">
      <c r="B3" t="s">
        <v>279</v>
      </c>
      <c r="C3" t="s">
        <v>41</v>
      </c>
    </row>
    <row r="4" spans="1:3" x14ac:dyDescent="0.35">
      <c r="A4" t="s">
        <v>15</v>
      </c>
      <c r="B4" t="s">
        <v>571</v>
      </c>
      <c r="C4" t="s">
        <v>572</v>
      </c>
    </row>
    <row r="5" spans="1:3" x14ac:dyDescent="0.35">
      <c r="A5" t="s">
        <v>573</v>
      </c>
    </row>
    <row r="6" spans="1:3" x14ac:dyDescent="0.35">
      <c r="A6" t="s">
        <v>574</v>
      </c>
      <c r="B6" t="s">
        <v>575</v>
      </c>
      <c r="C6" t="s">
        <v>576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0C945A-8DB7-41AD-A905-C26A82ED8E66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F7546-8EEF-4168-AFFB-9D5CAB0990C3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D1DC8B-0D10-4693-9ED3-8C542271327E}">
  <dimension ref="A1:D41"/>
  <sheetViews>
    <sheetView workbookViewId="0">
      <selection activeCell="G24" sqref="G8:G24"/>
    </sheetView>
  </sheetViews>
  <sheetFormatPr defaultRowHeight="14.5" x14ac:dyDescent="0.35"/>
  <cols>
    <col min="1" max="1" width="42.90625" bestFit="1" customWidth="1"/>
    <col min="2" max="4" width="10.54296875" bestFit="1" customWidth="1"/>
  </cols>
  <sheetData>
    <row r="1" spans="1:4" x14ac:dyDescent="0.35">
      <c r="A1" t="s">
        <v>88</v>
      </c>
      <c r="B1" t="s">
        <v>128</v>
      </c>
      <c r="C1" t="s">
        <v>129</v>
      </c>
      <c r="D1" t="s">
        <v>113</v>
      </c>
    </row>
    <row r="2" spans="1:4" x14ac:dyDescent="0.35">
      <c r="A2" t="s">
        <v>130</v>
      </c>
      <c r="B2" t="s">
        <v>131</v>
      </c>
      <c r="C2" t="s">
        <v>132</v>
      </c>
      <c r="D2" t="s">
        <v>133</v>
      </c>
    </row>
    <row r="3" spans="1:4" x14ac:dyDescent="0.35">
      <c r="A3" t="s">
        <v>37</v>
      </c>
      <c r="B3" t="s">
        <v>134</v>
      </c>
      <c r="C3" t="s">
        <v>135</v>
      </c>
      <c r="D3" t="s">
        <v>136</v>
      </c>
    </row>
    <row r="4" spans="1:4" x14ac:dyDescent="0.35">
      <c r="A4" t="s">
        <v>43</v>
      </c>
      <c r="B4" t="s">
        <v>137</v>
      </c>
      <c r="C4" t="s">
        <v>138</v>
      </c>
      <c r="D4" t="s">
        <v>139</v>
      </c>
    </row>
    <row r="5" spans="1:4" x14ac:dyDescent="0.35">
      <c r="A5" t="s">
        <v>44</v>
      </c>
      <c r="B5" t="s">
        <v>140</v>
      </c>
      <c r="C5" t="s">
        <v>141</v>
      </c>
      <c r="D5" t="s">
        <v>142</v>
      </c>
    </row>
    <row r="6" spans="1:4" x14ac:dyDescent="0.35">
      <c r="A6" t="s">
        <v>46</v>
      </c>
      <c r="B6" t="s">
        <v>143</v>
      </c>
      <c r="C6" t="s">
        <v>144</v>
      </c>
      <c r="D6" t="s">
        <v>145</v>
      </c>
    </row>
    <row r="7" spans="1:4" x14ac:dyDescent="0.35">
      <c r="A7" t="s">
        <v>38</v>
      </c>
      <c r="B7" t="s">
        <v>146</v>
      </c>
      <c r="C7" t="s">
        <v>147</v>
      </c>
      <c r="D7" t="s">
        <v>148</v>
      </c>
    </row>
    <row r="8" spans="1:4" x14ac:dyDescent="0.35">
      <c r="A8" t="s">
        <v>47</v>
      </c>
      <c r="B8" t="s">
        <v>143</v>
      </c>
      <c r="C8" t="s">
        <v>143</v>
      </c>
      <c r="D8" t="s">
        <v>149</v>
      </c>
    </row>
    <row r="9" spans="1:4" x14ac:dyDescent="0.35">
      <c r="A9" t="s">
        <v>150</v>
      </c>
      <c r="B9" t="s">
        <v>151</v>
      </c>
      <c r="C9" t="s">
        <v>152</v>
      </c>
      <c r="D9" t="s">
        <v>153</v>
      </c>
    </row>
    <row r="10" spans="1:4" x14ac:dyDescent="0.35">
      <c r="A10" t="s">
        <v>39</v>
      </c>
      <c r="B10" t="s">
        <v>154</v>
      </c>
      <c r="C10" t="s">
        <v>155</v>
      </c>
      <c r="D10" t="s">
        <v>156</v>
      </c>
    </row>
    <row r="11" spans="1:4" x14ac:dyDescent="0.35">
      <c r="A11" t="s">
        <v>157</v>
      </c>
      <c r="B11" t="s">
        <v>158</v>
      </c>
      <c r="C11" t="s">
        <v>143</v>
      </c>
      <c r="D11" t="s">
        <v>143</v>
      </c>
    </row>
    <row r="12" spans="1:4" x14ac:dyDescent="0.35">
      <c r="A12" t="s">
        <v>159</v>
      </c>
      <c r="B12" t="s">
        <v>160</v>
      </c>
      <c r="C12" t="s">
        <v>161</v>
      </c>
      <c r="D12" t="s">
        <v>162</v>
      </c>
    </row>
    <row r="13" spans="1:4" x14ac:dyDescent="0.35">
      <c r="A13" t="s">
        <v>49</v>
      </c>
      <c r="B13" t="s">
        <v>143</v>
      </c>
      <c r="C13" t="s">
        <v>163</v>
      </c>
      <c r="D13" t="s">
        <v>164</v>
      </c>
    </row>
    <row r="14" spans="1:4" x14ac:dyDescent="0.35">
      <c r="A14" t="s">
        <v>50</v>
      </c>
      <c r="B14" t="s">
        <v>165</v>
      </c>
      <c r="C14" t="s">
        <v>166</v>
      </c>
      <c r="D14" t="s">
        <v>167</v>
      </c>
    </row>
    <row r="15" spans="1:4" x14ac:dyDescent="0.35">
      <c r="A15" t="s">
        <v>51</v>
      </c>
      <c r="B15" t="s">
        <v>168</v>
      </c>
      <c r="C15" t="s">
        <v>169</v>
      </c>
      <c r="D15" t="s">
        <v>170</v>
      </c>
    </row>
    <row r="16" spans="1:4" x14ac:dyDescent="0.35">
      <c r="A16" t="s">
        <v>171</v>
      </c>
    </row>
    <row r="17" spans="1:4" x14ac:dyDescent="0.35">
      <c r="A17" t="s">
        <v>52</v>
      </c>
      <c r="B17" t="s">
        <v>172</v>
      </c>
      <c r="C17" t="s">
        <v>173</v>
      </c>
      <c r="D17" t="s">
        <v>174</v>
      </c>
    </row>
    <row r="18" spans="1:4" x14ac:dyDescent="0.35">
      <c r="A18" t="s">
        <v>53</v>
      </c>
      <c r="B18" t="s">
        <v>175</v>
      </c>
      <c r="C18" t="s">
        <v>176</v>
      </c>
      <c r="D18" t="s">
        <v>177</v>
      </c>
    </row>
    <row r="19" spans="1:4" x14ac:dyDescent="0.35">
      <c r="A19" t="s">
        <v>54</v>
      </c>
      <c r="B19" t="s">
        <v>178</v>
      </c>
      <c r="C19" t="s">
        <v>179</v>
      </c>
      <c r="D19" t="s">
        <v>180</v>
      </c>
    </row>
    <row r="20" spans="1:4" x14ac:dyDescent="0.35">
      <c r="A20" t="s">
        <v>181</v>
      </c>
      <c r="B20" t="s">
        <v>182</v>
      </c>
      <c r="C20" t="s">
        <v>183</v>
      </c>
      <c r="D20" t="s">
        <v>184</v>
      </c>
    </row>
    <row r="21" spans="1:4" x14ac:dyDescent="0.35">
      <c r="A21" t="s">
        <v>24</v>
      </c>
      <c r="B21" t="s">
        <v>185</v>
      </c>
      <c r="C21" t="s">
        <v>186</v>
      </c>
      <c r="D21" t="s">
        <v>187</v>
      </c>
    </row>
    <row r="22" spans="1:4" x14ac:dyDescent="0.35">
      <c r="A22" t="s">
        <v>56</v>
      </c>
      <c r="B22" t="s">
        <v>188</v>
      </c>
      <c r="C22" t="s">
        <v>189</v>
      </c>
      <c r="D22" t="s">
        <v>190</v>
      </c>
    </row>
    <row r="23" spans="1:4" x14ac:dyDescent="0.35">
      <c r="A23" t="s">
        <v>191</v>
      </c>
    </row>
    <row r="24" spans="1:4" x14ac:dyDescent="0.35">
      <c r="A24" t="s">
        <v>57</v>
      </c>
      <c r="B24" t="s">
        <v>192</v>
      </c>
      <c r="C24" t="s">
        <v>193</v>
      </c>
      <c r="D24" t="s">
        <v>194</v>
      </c>
    </row>
    <row r="25" spans="1:4" x14ac:dyDescent="0.35">
      <c r="A25" t="s">
        <v>58</v>
      </c>
      <c r="B25" t="s">
        <v>195</v>
      </c>
      <c r="C25" t="s">
        <v>196</v>
      </c>
      <c r="D25" t="s">
        <v>197</v>
      </c>
    </row>
    <row r="26" spans="1:4" x14ac:dyDescent="0.35">
      <c r="A26" t="s">
        <v>198</v>
      </c>
      <c r="B26" t="s">
        <v>199</v>
      </c>
      <c r="C26" t="s">
        <v>200</v>
      </c>
      <c r="D26" t="s">
        <v>143</v>
      </c>
    </row>
    <row r="27" spans="1:4" x14ac:dyDescent="0.35">
      <c r="A27" t="s">
        <v>201</v>
      </c>
      <c r="B27" t="s">
        <v>202</v>
      </c>
      <c r="C27" t="s">
        <v>203</v>
      </c>
      <c r="D27" t="s">
        <v>204</v>
      </c>
    </row>
    <row r="28" spans="1:4" x14ac:dyDescent="0.35">
      <c r="A28" t="s">
        <v>205</v>
      </c>
      <c r="B28" t="s">
        <v>206</v>
      </c>
      <c r="C28" t="s">
        <v>207</v>
      </c>
      <c r="D28" t="s">
        <v>208</v>
      </c>
    </row>
    <row r="29" spans="1:4" x14ac:dyDescent="0.35">
      <c r="A29" t="s">
        <v>209</v>
      </c>
      <c r="B29" t="s">
        <v>210</v>
      </c>
      <c r="C29" t="s">
        <v>211</v>
      </c>
      <c r="D29" t="s">
        <v>212</v>
      </c>
    </row>
    <row r="30" spans="1:4" x14ac:dyDescent="0.35">
      <c r="A30" t="s">
        <v>63</v>
      </c>
      <c r="B30" t="s">
        <v>213</v>
      </c>
      <c r="C30" t="s">
        <v>214</v>
      </c>
      <c r="D30" t="s">
        <v>215</v>
      </c>
    </row>
    <row r="31" spans="1:4" x14ac:dyDescent="0.35">
      <c r="A31" t="s">
        <v>205</v>
      </c>
      <c r="B31" t="s">
        <v>216</v>
      </c>
      <c r="C31" t="s">
        <v>217</v>
      </c>
      <c r="D31" t="s">
        <v>218</v>
      </c>
    </row>
    <row r="32" spans="1:4" x14ac:dyDescent="0.35">
      <c r="A32" t="s">
        <v>65</v>
      </c>
      <c r="B32" t="s">
        <v>219</v>
      </c>
      <c r="C32" t="s">
        <v>220</v>
      </c>
      <c r="D32" t="s">
        <v>221</v>
      </c>
    </row>
    <row r="33" spans="1:4" x14ac:dyDescent="0.35">
      <c r="A33" t="s">
        <v>209</v>
      </c>
      <c r="B33" t="s">
        <v>222</v>
      </c>
      <c r="C33" t="s">
        <v>223</v>
      </c>
      <c r="D33" t="s">
        <v>224</v>
      </c>
    </row>
    <row r="34" spans="1:4" x14ac:dyDescent="0.35">
      <c r="A34" t="s">
        <v>198</v>
      </c>
      <c r="B34" t="s">
        <v>225</v>
      </c>
      <c r="C34" t="s">
        <v>226</v>
      </c>
      <c r="D34" t="s">
        <v>143</v>
      </c>
    </row>
    <row r="35" spans="1:4" x14ac:dyDescent="0.35">
      <c r="A35" t="s">
        <v>201</v>
      </c>
      <c r="B35" t="s">
        <v>227</v>
      </c>
      <c r="C35" t="s">
        <v>228</v>
      </c>
      <c r="D35" t="s">
        <v>229</v>
      </c>
    </row>
    <row r="36" spans="1:4" x14ac:dyDescent="0.35">
      <c r="A36" t="s">
        <v>230</v>
      </c>
      <c r="B36" t="s">
        <v>231</v>
      </c>
      <c r="C36" t="s">
        <v>232</v>
      </c>
      <c r="D36" t="s">
        <v>233</v>
      </c>
    </row>
    <row r="37" spans="1:4" x14ac:dyDescent="0.35">
      <c r="A37" t="s">
        <v>234</v>
      </c>
      <c r="B37" t="s">
        <v>235</v>
      </c>
      <c r="C37" t="s">
        <v>236</v>
      </c>
      <c r="D37" t="s">
        <v>237</v>
      </c>
    </row>
    <row r="38" spans="1:4" x14ac:dyDescent="0.35">
      <c r="A38" t="s">
        <v>238</v>
      </c>
      <c r="B38" t="s">
        <v>143</v>
      </c>
      <c r="C38" t="s">
        <v>239</v>
      </c>
      <c r="D38" t="s">
        <v>240</v>
      </c>
    </row>
    <row r="39" spans="1:4" x14ac:dyDescent="0.35">
      <c r="A39" t="s">
        <v>70</v>
      </c>
      <c r="B39" t="s">
        <v>241</v>
      </c>
      <c r="C39" t="s">
        <v>242</v>
      </c>
      <c r="D39" t="s">
        <v>243</v>
      </c>
    </row>
    <row r="40" spans="1:4" x14ac:dyDescent="0.35">
      <c r="A40" t="s">
        <v>71</v>
      </c>
      <c r="B40" t="s">
        <v>244</v>
      </c>
      <c r="C40" t="s">
        <v>245</v>
      </c>
      <c r="D40" t="s">
        <v>246</v>
      </c>
    </row>
    <row r="41" spans="1:4" x14ac:dyDescent="0.35">
      <c r="A41" t="s">
        <v>247</v>
      </c>
      <c r="B41" t="s">
        <v>168</v>
      </c>
      <c r="C41" t="s">
        <v>169</v>
      </c>
      <c r="D41" t="s">
        <v>170</v>
      </c>
    </row>
  </sheetData>
  <pageMargins left="0.7" right="0.7" top="0.75" bottom="0.75" header="0.3" footer="0.3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3BB9-FA96-4DF6-AFE3-97F84B976041}">
  <dimension ref="A1:B45"/>
  <sheetViews>
    <sheetView workbookViewId="0">
      <selection activeCell="C8" sqref="C8"/>
    </sheetView>
  </sheetViews>
  <sheetFormatPr defaultRowHeight="14.5" x14ac:dyDescent="0.35"/>
  <sheetData>
    <row r="1" spans="1:2" x14ac:dyDescent="0.35">
      <c r="A1" s="33" t="s">
        <v>37</v>
      </c>
      <c r="B1" s="32" t="s">
        <v>134</v>
      </c>
    </row>
    <row r="2" spans="1:2" x14ac:dyDescent="0.35">
      <c r="A2" s="34" t="s">
        <v>130</v>
      </c>
      <c r="B2" s="31" t="s">
        <v>131</v>
      </c>
    </row>
    <row r="3" spans="1:2" x14ac:dyDescent="0.35">
      <c r="A3" s="34" t="s">
        <v>43</v>
      </c>
      <c r="B3" s="36">
        <v>303</v>
      </c>
    </row>
    <row r="4" spans="1:2" x14ac:dyDescent="0.35">
      <c r="A4" s="33" t="s">
        <v>44</v>
      </c>
      <c r="B4" s="35">
        <v>305612</v>
      </c>
    </row>
    <row r="5" spans="1:2" x14ac:dyDescent="0.35">
      <c r="A5" s="34"/>
      <c r="B5" s="31"/>
    </row>
    <row r="6" spans="1:2" x14ac:dyDescent="0.35">
      <c r="A6" s="33" t="s">
        <v>38</v>
      </c>
      <c r="B6" s="32" t="s">
        <v>146</v>
      </c>
    </row>
    <row r="7" spans="1:2" x14ac:dyDescent="0.35">
      <c r="A7" s="34" t="s">
        <v>39</v>
      </c>
      <c r="B7" s="31" t="s">
        <v>154</v>
      </c>
    </row>
    <row r="8" spans="1:2" x14ac:dyDescent="0.35">
      <c r="A8" s="33" t="s">
        <v>150</v>
      </c>
      <c r="B8" s="32" t="s">
        <v>151</v>
      </c>
    </row>
    <row r="9" spans="1:2" x14ac:dyDescent="0.35">
      <c r="A9" s="33" t="s">
        <v>157</v>
      </c>
      <c r="B9" s="37">
        <v>18500</v>
      </c>
    </row>
    <row r="10" spans="1:2" x14ac:dyDescent="0.35">
      <c r="A10" s="34" t="s">
        <v>46</v>
      </c>
    </row>
    <row r="11" spans="1:2" x14ac:dyDescent="0.35">
      <c r="A11" s="34" t="s">
        <v>47</v>
      </c>
      <c r="B11" s="31" t="s">
        <v>143</v>
      </c>
    </row>
    <row r="12" spans="1:2" x14ac:dyDescent="0.35">
      <c r="A12" s="34" t="s">
        <v>159</v>
      </c>
      <c r="B12" s="31" t="s">
        <v>160</v>
      </c>
    </row>
    <row r="13" spans="1:2" x14ac:dyDescent="0.35">
      <c r="A13" s="33" t="s">
        <v>49</v>
      </c>
      <c r="B13" s="32" t="s">
        <v>143</v>
      </c>
    </row>
    <row r="14" spans="1:2" x14ac:dyDescent="0.35">
      <c r="A14" s="34" t="s">
        <v>50</v>
      </c>
      <c r="B14" s="31" t="s">
        <v>165</v>
      </c>
    </row>
    <row r="16" spans="1:2" x14ac:dyDescent="0.35">
      <c r="A16" s="33" t="s">
        <v>51</v>
      </c>
      <c r="B16" s="32" t="s">
        <v>168</v>
      </c>
    </row>
    <row r="17" spans="1:2" x14ac:dyDescent="0.35">
      <c r="A17" s="33"/>
      <c r="B17" s="32"/>
    </row>
    <row r="18" spans="1:2" x14ac:dyDescent="0.35">
      <c r="A18" s="34" t="s">
        <v>171</v>
      </c>
      <c r="B18" s="31"/>
    </row>
    <row r="19" spans="1:2" x14ac:dyDescent="0.35">
      <c r="A19" s="33" t="s">
        <v>52</v>
      </c>
      <c r="B19" s="32" t="s">
        <v>172</v>
      </c>
    </row>
    <row r="20" spans="1:2" x14ac:dyDescent="0.35">
      <c r="A20" s="34" t="s">
        <v>53</v>
      </c>
      <c r="B20" s="31" t="s">
        <v>175</v>
      </c>
    </row>
    <row r="21" spans="1:2" x14ac:dyDescent="0.35">
      <c r="A21" s="33" t="s">
        <v>54</v>
      </c>
      <c r="B21" s="32" t="s">
        <v>178</v>
      </c>
    </row>
    <row r="22" spans="1:2" x14ac:dyDescent="0.35">
      <c r="A22" s="34" t="s">
        <v>181</v>
      </c>
      <c r="B22" s="31" t="s">
        <v>182</v>
      </c>
    </row>
    <row r="23" spans="1:2" x14ac:dyDescent="0.35">
      <c r="A23" s="34"/>
      <c r="B23" s="31"/>
    </row>
    <row r="24" spans="1:2" x14ac:dyDescent="0.35">
      <c r="A24" s="33" t="s">
        <v>24</v>
      </c>
      <c r="B24" s="32" t="s">
        <v>185</v>
      </c>
    </row>
    <row r="25" spans="1:2" x14ac:dyDescent="0.35">
      <c r="A25" s="34" t="s">
        <v>56</v>
      </c>
      <c r="B25" s="31" t="s">
        <v>188</v>
      </c>
    </row>
    <row r="26" spans="1:2" x14ac:dyDescent="0.35">
      <c r="A26" s="34"/>
      <c r="B26" s="31"/>
    </row>
    <row r="27" spans="1:2" x14ac:dyDescent="0.35">
      <c r="A27" s="34" t="s">
        <v>57</v>
      </c>
      <c r="B27" s="31" t="s">
        <v>192</v>
      </c>
    </row>
    <row r="28" spans="1:2" x14ac:dyDescent="0.35">
      <c r="A28" s="33" t="s">
        <v>58</v>
      </c>
      <c r="B28" s="32" t="s">
        <v>195</v>
      </c>
    </row>
    <row r="29" spans="1:2" x14ac:dyDescent="0.35">
      <c r="A29" s="34" t="s">
        <v>198</v>
      </c>
      <c r="B29" s="31" t="s">
        <v>199</v>
      </c>
    </row>
    <row r="30" spans="1:2" x14ac:dyDescent="0.35">
      <c r="A30" s="33" t="s">
        <v>201</v>
      </c>
      <c r="B30" s="32" t="s">
        <v>202</v>
      </c>
    </row>
    <row r="31" spans="1:2" x14ac:dyDescent="0.35">
      <c r="A31" s="34" t="s">
        <v>205</v>
      </c>
      <c r="B31" s="31" t="s">
        <v>206</v>
      </c>
    </row>
    <row r="32" spans="1:2" x14ac:dyDescent="0.35">
      <c r="A32" s="33" t="s">
        <v>209</v>
      </c>
      <c r="B32" s="32" t="s">
        <v>210</v>
      </c>
    </row>
    <row r="33" spans="1:2" x14ac:dyDescent="0.35">
      <c r="A33" s="34" t="s">
        <v>63</v>
      </c>
      <c r="B33" s="31" t="s">
        <v>213</v>
      </c>
    </row>
    <row r="35" spans="1:2" x14ac:dyDescent="0.35">
      <c r="A35" s="33" t="s">
        <v>205</v>
      </c>
      <c r="B35" s="32" t="s">
        <v>216</v>
      </c>
    </row>
    <row r="36" spans="1:2" x14ac:dyDescent="0.35">
      <c r="A36" s="34" t="s">
        <v>65</v>
      </c>
      <c r="B36" s="31" t="s">
        <v>219</v>
      </c>
    </row>
    <row r="37" spans="1:2" x14ac:dyDescent="0.35">
      <c r="A37" s="33" t="s">
        <v>209</v>
      </c>
      <c r="B37" s="32" t="s">
        <v>222</v>
      </c>
    </row>
    <row r="38" spans="1:2" x14ac:dyDescent="0.35">
      <c r="A38" s="34" t="s">
        <v>198</v>
      </c>
      <c r="B38" s="31" t="s">
        <v>225</v>
      </c>
    </row>
    <row r="39" spans="1:2" x14ac:dyDescent="0.35">
      <c r="A39" s="33" t="s">
        <v>201</v>
      </c>
      <c r="B39" s="32" t="s">
        <v>227</v>
      </c>
    </row>
    <row r="40" spans="1:2" x14ac:dyDescent="0.35">
      <c r="A40" s="34" t="s">
        <v>230</v>
      </c>
      <c r="B40" s="31" t="s">
        <v>231</v>
      </c>
    </row>
    <row r="41" spans="1:2" x14ac:dyDescent="0.35">
      <c r="A41" s="33" t="s">
        <v>234</v>
      </c>
      <c r="B41" s="32" t="s">
        <v>235</v>
      </c>
    </row>
    <row r="42" spans="1:2" x14ac:dyDescent="0.35">
      <c r="A42" s="34" t="s">
        <v>238</v>
      </c>
      <c r="B42" s="31" t="s">
        <v>143</v>
      </c>
    </row>
    <row r="43" spans="1:2" x14ac:dyDescent="0.35">
      <c r="A43" s="33" t="s">
        <v>70</v>
      </c>
      <c r="B43" s="32" t="s">
        <v>241</v>
      </c>
    </row>
    <row r="44" spans="1:2" x14ac:dyDescent="0.35">
      <c r="A44" s="34" t="s">
        <v>71</v>
      </c>
      <c r="B44" s="31" t="s">
        <v>244</v>
      </c>
    </row>
    <row r="45" spans="1:2" x14ac:dyDescent="0.35">
      <c r="A45" s="33" t="s">
        <v>247</v>
      </c>
      <c r="B45" s="32" t="s">
        <v>168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98F39E-2B82-42CD-AFBE-79EC32C895BF}">
  <dimension ref="B1:H5"/>
  <sheetViews>
    <sheetView workbookViewId="0">
      <selection activeCell="J4" sqref="J4"/>
    </sheetView>
  </sheetViews>
  <sheetFormatPr defaultRowHeight="14.5" x14ac:dyDescent="0.35"/>
  <cols>
    <col min="2" max="2" width="13.7265625" customWidth="1"/>
    <col min="3" max="3" width="17.6328125" customWidth="1"/>
    <col min="4" max="4" width="13" customWidth="1"/>
    <col min="5" max="5" width="15.7265625" customWidth="1"/>
    <col min="6" max="6" width="12.453125" customWidth="1"/>
    <col min="7" max="7" width="10.453125" customWidth="1"/>
    <col min="8" max="8" width="12.08984375" customWidth="1"/>
  </cols>
  <sheetData>
    <row r="1" spans="2:8" ht="15" thickBot="1" x14ac:dyDescent="0.4"/>
    <row r="2" spans="2:8" ht="42.5" thickBot="1" x14ac:dyDescent="0.4">
      <c r="B2" s="77" t="s">
        <v>352</v>
      </c>
      <c r="C2" s="77" t="s">
        <v>353</v>
      </c>
      <c r="D2" s="77" t="s">
        <v>354</v>
      </c>
      <c r="E2" s="77" t="s">
        <v>355</v>
      </c>
      <c r="F2" s="77" t="s">
        <v>356</v>
      </c>
      <c r="G2" s="77" t="s">
        <v>357</v>
      </c>
      <c r="H2" s="77" t="s">
        <v>358</v>
      </c>
    </row>
    <row r="3" spans="2:8" ht="28.5" thickBot="1" x14ac:dyDescent="0.4">
      <c r="B3" s="77" t="s">
        <v>359</v>
      </c>
      <c r="C3" s="78">
        <v>20000</v>
      </c>
      <c r="D3" s="79">
        <v>0.42</v>
      </c>
      <c r="E3" s="78">
        <v>8400</v>
      </c>
      <c r="F3" s="80" t="s">
        <v>360</v>
      </c>
      <c r="G3" s="80" t="s">
        <v>361</v>
      </c>
      <c r="H3" s="80" t="s">
        <v>362</v>
      </c>
    </row>
    <row r="4" spans="2:8" ht="28.5" thickBot="1" x14ac:dyDescent="0.4">
      <c r="B4" s="77" t="s">
        <v>363</v>
      </c>
      <c r="C4" s="78">
        <v>20000</v>
      </c>
      <c r="D4" s="79">
        <v>1</v>
      </c>
      <c r="E4" s="78">
        <v>20000</v>
      </c>
      <c r="F4" s="80" t="s">
        <v>360</v>
      </c>
      <c r="G4" s="80" t="s">
        <v>364</v>
      </c>
      <c r="H4" s="80" t="s">
        <v>365</v>
      </c>
    </row>
    <row r="5" spans="2:8" ht="15" thickBot="1" x14ac:dyDescent="0.4">
      <c r="B5" s="77" t="s">
        <v>366</v>
      </c>
      <c r="C5" s="78">
        <v>20000</v>
      </c>
      <c r="D5" s="79">
        <v>1.05</v>
      </c>
      <c r="E5" s="78">
        <v>21000</v>
      </c>
      <c r="F5" s="80" t="s">
        <v>360</v>
      </c>
      <c r="G5" s="80" t="s">
        <v>367</v>
      </c>
      <c r="H5" s="80" t="s">
        <v>368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61F20B3-50FC-4007-9946-5D10EA3AE12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22</vt:i4>
      </vt:variant>
    </vt:vector>
  </HeadingPairs>
  <TitlesOfParts>
    <vt:vector size="22" baseType="lpstr">
      <vt:lpstr>balance sheet</vt:lpstr>
      <vt:lpstr>cashflow sheet</vt:lpstr>
      <vt:lpstr>profit and loss</vt:lpstr>
      <vt:lpstr>WACC</vt:lpstr>
      <vt:lpstr>MULTIPLES VALUATION</vt:lpstr>
      <vt:lpstr>Table020 (Page 13)</vt:lpstr>
      <vt:lpstr>Sheet7</vt:lpstr>
      <vt:lpstr>Table065 (Page 40)</vt:lpstr>
      <vt:lpstr>Table066 (Page 40)</vt:lpstr>
      <vt:lpstr>Table100 (Page 56)</vt:lpstr>
      <vt:lpstr>Sheet1</vt:lpstr>
      <vt:lpstr>Table070 (Page 42)</vt:lpstr>
      <vt:lpstr>Sheet8</vt:lpstr>
      <vt:lpstr>Sheet9</vt:lpstr>
      <vt:lpstr>Table015 (Page 11)</vt:lpstr>
      <vt:lpstr>Table075 (Page 45)</vt:lpstr>
      <vt:lpstr>Table067 (Page 32)</vt:lpstr>
      <vt:lpstr>Sheet3</vt:lpstr>
      <vt:lpstr>Sheet6</vt:lpstr>
      <vt:lpstr>Table018 (Page 12)</vt:lpstr>
      <vt:lpstr>Sheet5</vt:lpstr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IH Securities 2</cp:lastModifiedBy>
  <dcterms:created xsi:type="dcterms:W3CDTF">2025-11-12T19:08:45Z</dcterms:created>
  <dcterms:modified xsi:type="dcterms:W3CDTF">2025-12-08T18:53:31Z</dcterms:modified>
</cp:coreProperties>
</file>